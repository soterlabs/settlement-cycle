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11273284.34691079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/>
      <c r="B6" s="4" t="n">
        <v>11388147.15687342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8938388.098683022</v>
      </c>
    </row>
    <row r="10">
      <c r="A10" t="inlineStr">
        <is>
          <t>+ SDE revenue (Sky-Direct, full to Sky)</t>
        </is>
      </c>
      <c r="B10" s="3" t="n">
        <v>21041.50083063317</v>
      </c>
    </row>
    <row r="11">
      <c r="A11" t="inlineStr"/>
      <c r="B11" s="4" t="n">
        <v>8959429.599513656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8938388.098683022</v>
      </c>
    </row>
    <row r="15">
      <c r="A15" t="inlineStr">
        <is>
          <t>reduction from idle/SDE deductions</t>
        </is>
      </c>
      <c r="B15" s="3" t="n">
        <v>-2736145.682979046</v>
      </c>
    </row>
    <row r="16">
      <c r="A16" t="inlineStr"/>
      <c r="B16" s="4" t="n">
        <v>11674533.78166207</v>
      </c>
    </row>
    <row r="18">
      <c r="A18" s="5" t="inlineStr">
        <is>
          <t>sUSDS spread (Curve LP + PSM3) — deducted from sky_revenue</t>
        </is>
      </c>
      <c r="B18" s="3" t="n">
        <v>171082.354798371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11273284.34691079</v>
      </c>
    </row>
    <row r="22">
      <c r="A22" t="inlineStr">
        <is>
          <t>− CoF (deducted per-venue in display)</t>
        </is>
      </c>
      <c r="B22" s="3" t="n">
        <v>-8938388.098683022</v>
      </c>
    </row>
    <row r="23">
      <c r="A23" t="inlineStr"/>
      <c r="B23" s="4" t="n">
        <v>1353408.60867962</v>
      </c>
    </row>
    <row r="25">
      <c r="A25" t="inlineStr">
        <is>
          <t>Period</t>
        </is>
      </c>
      <c r="B25" t="inlineStr">
        <is>
          <t>2026-06-01 → 2026-06-30 (30 days)</t>
        </is>
      </c>
    </row>
    <row r="26">
      <c r="A26" t="inlineStr">
        <is>
          <t>Pin blocks</t>
        </is>
      </c>
      <c r="B26" t="inlineStr">
        <is>
          <t>arbitrum=479089705, avalanche_c=89166730, base=48037326, ethereum=25433938, optimism=153632611, unichain=52115640</t>
        </is>
      </c>
    </row>
    <row r="27">
      <c r="A27" t="inlineStr">
        <is>
          <t>Generated</t>
        </is>
      </c>
      <c r="B27" t="inlineStr">
        <is>
          <t>2026-07-07T01:10:59+00:00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3189433.596046247</v>
      </c>
      <c r="O2" s="6" t="n">
        <v>3189433.596046247</v>
      </c>
      <c r="P2" s="6" t="n">
        <v>-162760.0247831743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495837665.420656</v>
      </c>
      <c r="F3" s="6" t="n">
        <v>527947034.437084</v>
      </c>
      <c r="G3" s="6" t="n">
        <v>32109369.016428</v>
      </c>
      <c r="H3" s="6" t="n">
        <v>1098488.169145</v>
      </c>
      <c r="I3" s="6" t="n">
        <v>0</v>
      </c>
      <c r="J3" s="6" t="n">
        <v>1098488.169145</v>
      </c>
      <c r="K3" s="6" t="n">
        <v>0</v>
      </c>
      <c r="L3" s="6" t="n">
        <v>496871361.4488988</v>
      </c>
      <c r="M3" s="7" t="n">
        <v>1</v>
      </c>
      <c r="N3" s="6" t="n">
        <v>1187887.697872096</v>
      </c>
      <c r="O3" s="6" t="n">
        <v>1187887.697872096</v>
      </c>
      <c r="P3" s="6" t="n">
        <v>-89399.52872709547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550178045.362034</v>
      </c>
      <c r="F4" s="6" t="n">
        <v>488789298.208332</v>
      </c>
      <c r="G4" s="6" t="n">
        <v>-61388747.15370198</v>
      </c>
      <c r="H4" s="6" t="n">
        <v>996446.4198392286</v>
      </c>
      <c r="I4" s="6" t="n">
        <v>0</v>
      </c>
      <c r="J4" s="6" t="n">
        <v>996446.4198392286</v>
      </c>
      <c r="K4" s="6" t="n">
        <v>0</v>
      </c>
      <c r="L4" s="6" t="n">
        <v>391180692.315285</v>
      </c>
      <c r="M4" s="7" t="n">
        <v>1</v>
      </c>
      <c r="N4" s="6" t="n">
        <v>935209.3280067354</v>
      </c>
      <c r="O4" s="6" t="n">
        <v>935209.3280067354</v>
      </c>
      <c r="P4" s="6" t="n">
        <v>61237.09183249316</v>
      </c>
      <c r="Q4" s="6" t="n">
        <v>156917846.5942976</v>
      </c>
      <c r="R4" s="6" t="n">
        <v>0</v>
      </c>
      <c r="S4" t="inlineStr">
        <is>
          <t>(avg excl. lending_idle)</t>
        </is>
      </c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608678684.51526</v>
      </c>
      <c r="F5" s="6" t="n">
        <v>206394227.300838</v>
      </c>
      <c r="G5" s="6" t="n">
        <v>-402284457.214422</v>
      </c>
      <c r="H5" s="6" t="n">
        <v>-5.37062273e-08</v>
      </c>
      <c r="I5" s="6" t="n">
        <v>0</v>
      </c>
      <c r="J5" s="6" t="n">
        <v>-5.37062273e-08</v>
      </c>
      <c r="K5" s="6" t="n">
        <v>0</v>
      </c>
      <c r="L5" s="6" t="n">
        <v>382655180.7826357</v>
      </c>
      <c r="M5" s="7" t="n">
        <v>1</v>
      </c>
      <c r="N5" s="6" t="n">
        <v>914827.0901611712</v>
      </c>
      <c r="O5" s="6" t="n">
        <v>914827.0901611712</v>
      </c>
      <c r="P5" s="6" t="n">
        <v>-914827.0901612249</v>
      </c>
      <c r="Q5" s="6" t="n">
        <v>0</v>
      </c>
      <c r="R5" s="6" t="n">
        <v>0</v>
      </c>
      <c r="S5" t="inlineStr"/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612319.0022068904</v>
      </c>
      <c r="O6" s="6" t="n">
        <v>612319.0022068904</v>
      </c>
      <c r="P6" s="6" t="n">
        <v>952325.9977931136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423342.6581985646</v>
      </c>
      <c r="O7" s="6" t="n">
        <v>423342.6581985646</v>
      </c>
      <c r="P7" s="6" t="n">
        <v>90460.64578709904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144181483.7745804</v>
      </c>
      <c r="G8" s="6" t="n">
        <v>416872.1944949473</v>
      </c>
      <c r="H8" s="6" t="n">
        <v>416872.1944949473</v>
      </c>
      <c r="I8" s="6" t="n">
        <v>0</v>
      </c>
      <c r="J8" s="6" t="n">
        <v>416872.1944949473</v>
      </c>
      <c r="K8" s="6" t="n">
        <v>0</v>
      </c>
      <c r="L8" s="6" t="n">
        <v>143764611.5800855</v>
      </c>
      <c r="M8" s="7" t="n">
        <v>1</v>
      </c>
      <c r="N8" s="6" t="n">
        <v>343703.0723351669</v>
      </c>
      <c r="O8" s="6" t="n">
        <v>308307.1858605666</v>
      </c>
      <c r="P8" s="6" t="n">
        <v>73169.12215978043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201093205.1965842</v>
      </c>
      <c r="G9" s="6" t="n">
        <v>98741776.73582943</v>
      </c>
      <c r="H9" s="6" t="n">
        <v>391011.3769401348</v>
      </c>
      <c r="I9" s="6" t="n">
        <v>0</v>
      </c>
      <c r="J9" s="6" t="n">
        <v>391011.3769401348</v>
      </c>
      <c r="K9" s="6" t="n">
        <v>0</v>
      </c>
      <c r="L9" s="6" t="n">
        <v>138414109.5363883</v>
      </c>
      <c r="M9" s="7" t="n">
        <v>1</v>
      </c>
      <c r="N9" s="6" t="n">
        <v>330911.4404395117</v>
      </c>
      <c r="O9" s="6" t="n">
        <v>296832.8862404924</v>
      </c>
      <c r="P9" s="6" t="n">
        <v>60099.93650062312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211443541.1594051</v>
      </c>
      <c r="G10" s="6" t="n">
        <v>135440112.8640881</v>
      </c>
      <c r="H10" s="6" t="n">
        <v>349807.7689973119</v>
      </c>
      <c r="I10" s="6" t="n">
        <v>0</v>
      </c>
      <c r="J10" s="6" t="n">
        <v>349807.7689973119</v>
      </c>
      <c r="K10" s="6" t="n">
        <v>0</v>
      </c>
      <c r="L10" s="6" t="n">
        <v>125537273.940891</v>
      </c>
      <c r="M10" s="7" t="n">
        <v>1</v>
      </c>
      <c r="N10" s="6" t="n">
        <v>300126.3403548375</v>
      </c>
      <c r="O10" s="6" t="n">
        <v>269218.1561507764</v>
      </c>
      <c r="P10" s="6" t="n">
        <v>49681.42864247441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251251.0702686146</v>
      </c>
      <c r="O11" s="6" t="n">
        <v>251251.0702686146</v>
      </c>
      <c r="P11" s="6" t="n">
        <v>163843.1129186988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239072.8739760071</v>
      </c>
      <c r="O12" s="6" t="n">
        <v>239072.8739760071</v>
      </c>
      <c r="P12" s="6" t="n">
        <v>-212305.5350290071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231100.2638036835</v>
      </c>
      <c r="O13" s="6" t="n">
        <v>231100.2638036835</v>
      </c>
      <c r="P13" s="6" t="n">
        <v>-200974.1192833513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47069.39698180923</v>
      </c>
      <c r="O15" s="6" t="n">
        <v>47069.39698180923</v>
      </c>
      <c r="P15" s="6" t="n">
        <v>48577.92270840576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37354.346375</v>
      </c>
      <c r="I16" s="6" t="n">
        <v>0</v>
      </c>
      <c r="J16" s="6" t="n">
        <v>37354.346375</v>
      </c>
      <c r="K16" s="6" t="n">
        <v>0</v>
      </c>
      <c r="L16" s="6" t="n">
        <v>12000817.37390117</v>
      </c>
      <c r="M16" s="7" t="n">
        <v>1</v>
      </c>
      <c r="N16" s="6" t="n">
        <v>28690.77276117681</v>
      </c>
      <c r="O16" s="6" t="n">
        <v>28690.77276117681</v>
      </c>
      <c r="P16" s="6" t="n">
        <v>8663.573613823188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26721.36473021926</v>
      </c>
      <c r="O17" s="6" t="n">
        <v>26721.36473021926</v>
      </c>
      <c r="P17" s="6" t="n">
        <v>17424.72323703587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S51</t>
        </is>
      </c>
      <c r="B19" t="inlineStr">
        <is>
          <t>Savings USDS / sUSDS proxy (Unichain — POL)</t>
        </is>
      </c>
      <c r="C19" t="inlineStr">
        <is>
          <t>unichain</t>
        </is>
      </c>
      <c r="D19" t="inlineStr">
        <is>
          <t>B</t>
        </is>
      </c>
      <c r="E19" s="6" t="n">
        <v>985396.9281006901</v>
      </c>
      <c r="F19" s="6" t="n">
        <v>104354426.4993414</v>
      </c>
      <c r="G19" s="6" t="n">
        <v>103369029.5712408</v>
      </c>
      <c r="H19" s="6" t="n">
        <v>2857.341423254798</v>
      </c>
      <c r="I19" s="6" t="n">
        <v>0</v>
      </c>
      <c r="J19" s="6" t="n">
        <v>2857.341423254798</v>
      </c>
      <c r="K19" s="6" t="n">
        <v>0</v>
      </c>
      <c r="L19" s="6" t="n">
        <v>4430936.00242794</v>
      </c>
      <c r="M19" s="7" t="n">
        <v>1</v>
      </c>
      <c r="N19" s="6" t="n">
        <v>10593.19328043831</v>
      </c>
      <c r="O19" s="6" t="n">
        <v>9502.264810668192</v>
      </c>
      <c r="P19" s="6" t="n">
        <v>-7735.851857183517</v>
      </c>
      <c r="Q19" s="6" t="n">
        <v>0</v>
      </c>
      <c r="R19" s="6" t="n">
        <v>1090.928469770123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4992819.462732</v>
      </c>
      <c r="F20" s="6" t="n">
        <v>0</v>
      </c>
      <c r="G20" s="6" t="n">
        <v>-4992819.462732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3499154.7296384</v>
      </c>
      <c r="M20" s="7" t="n">
        <v>1</v>
      </c>
      <c r="N20" s="6" t="n">
        <v>8365.551285080261</v>
      </c>
      <c r="O20" s="6" t="n">
        <v>8365.551285080261</v>
      </c>
      <c r="P20" s="6" t="n">
        <v>-8365.551285080261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5019997.4</v>
      </c>
      <c r="F21" s="6" t="n">
        <v>0</v>
      </c>
      <c r="G21" s="6" t="n">
        <v>-5019997.4</v>
      </c>
      <c r="H21" s="6" t="n">
        <v>6.056e-11</v>
      </c>
      <c r="I21" s="6" t="n">
        <v>0</v>
      </c>
      <c r="J21" s="6" t="n">
        <v>6.056e-11</v>
      </c>
      <c r="K21" s="6" t="n">
        <v>0</v>
      </c>
      <c r="L21" s="6" t="n">
        <v>3498646.8395605</v>
      </c>
      <c r="M21" s="7" t="n">
        <v>1</v>
      </c>
      <c r="N21" s="6" t="n">
        <v>8364.337054552565</v>
      </c>
      <c r="O21" s="6" t="n">
        <v>8364.337054552565</v>
      </c>
      <c r="P21" s="6" t="n">
        <v>-8364.337054552505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4997576.708614</v>
      </c>
      <c r="F22" s="6" t="n">
        <v>0</v>
      </c>
      <c r="G22" s="6" t="n">
        <v>-4997576.708614</v>
      </c>
      <c r="H22" s="6" t="n">
        <v>1.4532344415e-08</v>
      </c>
      <c r="I22" s="6" t="n">
        <v>0</v>
      </c>
      <c r="J22" s="6" t="n">
        <v>1.4532344415e-08</v>
      </c>
      <c r="K22" s="6" t="n">
        <v>0</v>
      </c>
      <c r="L22" s="6" t="n">
        <v>3478277.793465591</v>
      </c>
      <c r="M22" s="7" t="n">
        <v>1</v>
      </c>
      <c r="N22" s="6" t="n">
        <v>8315.640065450647</v>
      </c>
      <c r="O22" s="6" t="n">
        <v>8315.640065450647</v>
      </c>
      <c r="P22" s="6" t="n">
        <v>-8315.640065436115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4975417.167355</v>
      </c>
      <c r="F23" s="6" t="n">
        <v>0</v>
      </c>
      <c r="G23" s="6" t="n">
        <v>-4975417.167355</v>
      </c>
      <c r="H23" s="6" t="n">
        <v>5.95e-10</v>
      </c>
      <c r="I23" s="6" t="n">
        <v>0</v>
      </c>
      <c r="J23" s="6" t="n">
        <v>5.95e-10</v>
      </c>
      <c r="K23" s="6" t="n">
        <v>0</v>
      </c>
      <c r="L23" s="6" t="n">
        <v>3433368.776736433</v>
      </c>
      <c r="M23" s="7" t="n">
        <v>1</v>
      </c>
      <c r="N23" s="6" t="n">
        <v>8208.274512442043</v>
      </c>
      <c r="O23" s="6" t="n">
        <v>8208.274512442043</v>
      </c>
      <c r="P23" s="6" t="n">
        <v>-8208.274512441449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3490.101906688395</v>
      </c>
      <c r="O24" s="6" t="n">
        <v>3490.101906688395</v>
      </c>
      <c r="P24" s="6" t="n">
        <v>1421.014434796825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462.2034445262915</v>
      </c>
      <c r="O26" s="6" t="n">
        <v>462.2034445262915</v>
      </c>
      <c r="P26" s="6" t="n">
        <v>228.1344319024803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S55</t>
        </is>
      </c>
      <c r="B28" t="inlineStr">
        <is>
          <t>USDC raw (Avalanche-C — ALM idle)</t>
        </is>
      </c>
      <c r="C28" t="inlineStr">
        <is>
          <t>avalanche_c</t>
        </is>
      </c>
      <c r="D28" t="inlineStr">
        <is>
          <t>A</t>
        </is>
      </c>
      <c r="E28" s="6" t="n">
        <v>0</v>
      </c>
      <c r="F28" s="6" t="n">
        <v>0</v>
      </c>
      <c r="G28" s="6" t="n">
        <v>0</v>
      </c>
      <c r="H28" s="6" t="n">
        <v>3.15299999999996e-10</v>
      </c>
      <c r="I28" s="6" t="n">
        <v>0</v>
      </c>
      <c r="J28" s="6" t="n">
        <v>3.15299999999996e-10</v>
      </c>
      <c r="K28" s="6" t="n">
        <v>0</v>
      </c>
      <c r="L28" s="6" t="n">
        <v>1206.634682533317</v>
      </c>
      <c r="M28" s="7" t="n">
        <v>1</v>
      </c>
      <c r="N28" s="6" t="n">
        <v>2.884743630680237</v>
      </c>
      <c r="O28" s="6" t="n">
        <v>2.884743630680237</v>
      </c>
      <c r="P28" s="6" t="n">
        <v>-2.884743630364937</v>
      </c>
      <c r="Q28" s="6" t="n">
        <v>0</v>
      </c>
      <c r="R28" s="6" t="n">
        <v>0</v>
      </c>
      <c r="S28" t="inlineStr"/>
    </row>
    <row r="29">
      <c r="A29" t="inlineStr">
        <is>
          <t>S12</t>
        </is>
      </c>
      <c r="B29" t="inlineStr">
        <is>
          <t>Spark DAI Vault (Morpho)</t>
        </is>
      </c>
      <c r="C29" t="inlineStr">
        <is>
          <t>ethereum</t>
        </is>
      </c>
      <c r="D29" t="inlineStr">
        <is>
          <t>B</t>
        </is>
      </c>
      <c r="E29" s="6" t="n">
        <v>539.8728953809741</v>
      </c>
      <c r="F29" s="6" t="n">
        <v>637.4866706248019</v>
      </c>
      <c r="G29" s="6" t="n">
        <v>97.6137752438278</v>
      </c>
      <c r="H29" s="6" t="n">
        <v>97.6137752438278</v>
      </c>
      <c r="I29" s="6" t="n">
        <v>0</v>
      </c>
      <c r="J29" s="6" t="n">
        <v>97.6137752438278</v>
      </c>
      <c r="K29" s="6" t="n">
        <v>0</v>
      </c>
      <c r="L29" s="6" t="n">
        <v>539.8728953809741</v>
      </c>
      <c r="M29" s="7" t="n">
        <v>1</v>
      </c>
      <c r="N29" s="6" t="n">
        <v>1.290692965212494</v>
      </c>
      <c r="O29" s="6" t="n">
        <v>1.290692965212494</v>
      </c>
      <c r="P29" s="6" t="n">
        <v>96.32308227861532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0.6787230569907252</v>
      </c>
      <c r="O30" s="6" t="n">
        <v>0.6787230569907252</v>
      </c>
      <c r="P30" s="6" t="n">
        <v>-0.6787230569907252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99.81305763596731</v>
      </c>
      <c r="F31" s="6" t="n">
        <v>100.1238263246728</v>
      </c>
      <c r="G31" s="6" t="n">
        <v>0.3107686887055447</v>
      </c>
      <c r="H31" s="6" t="n">
        <v>0.3107686887055447</v>
      </c>
      <c r="I31" s="6" t="n">
        <v>0</v>
      </c>
      <c r="J31" s="6" t="n">
        <v>0.3107686887055447</v>
      </c>
      <c r="K31" s="6" t="n">
        <v>0</v>
      </c>
      <c r="L31" s="6" t="n">
        <v>99.81305763596731</v>
      </c>
      <c r="M31" s="7" t="n">
        <v>1</v>
      </c>
      <c r="N31" s="6" t="n">
        <v>0.2386265590091936</v>
      </c>
      <c r="O31" s="6" t="n">
        <v>0.2386265590091936</v>
      </c>
      <c r="P31" s="6" t="n">
        <v>0.07214212969635114</v>
      </c>
      <c r="Q31" s="6" t="n">
        <v>0</v>
      </c>
      <c r="R31" s="6" t="n">
        <v>0</v>
      </c>
      <c r="S31" t="inlineStr"/>
    </row>
    <row r="32">
      <c r="A32" t="inlineStr">
        <is>
          <t>S13</t>
        </is>
      </c>
      <c r="B32" t="inlineStr">
        <is>
          <t>Spark USDS Vault (Morpho)</t>
        </is>
      </c>
      <c r="C32" t="inlineStr">
        <is>
          <t>ethereum</t>
        </is>
      </c>
      <c r="D32" t="inlineStr">
        <is>
          <t>B</t>
        </is>
      </c>
      <c r="E32" s="6" t="n">
        <v>21.90661272343654</v>
      </c>
      <c r="F32" s="6" t="n">
        <v>21.90842102645718</v>
      </c>
      <c r="G32" s="6" t="n">
        <v>0.001808303020639377</v>
      </c>
      <c r="H32" s="6" t="n">
        <v>0.0001839966329158897</v>
      </c>
      <c r="I32" s="6" t="n">
        <v>0</v>
      </c>
      <c r="J32" s="6" t="n">
        <v>0.0001839966329158897</v>
      </c>
      <c r="K32" s="6" t="n">
        <v>0</v>
      </c>
      <c r="L32" s="6" t="n">
        <v>21.90693758471409</v>
      </c>
      <c r="M32" s="7" t="n">
        <v>1</v>
      </c>
      <c r="N32" s="6" t="n">
        <v>0.05237367993810216</v>
      </c>
      <c r="O32" s="6" t="n">
        <v>0.05237367993810216</v>
      </c>
      <c r="P32" s="6" t="n">
        <v>-0.05218968330518628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10.015998</v>
      </c>
      <c r="F33" s="6" t="n">
        <v>1.353383</v>
      </c>
      <c r="G33" s="6" t="n">
        <v>-8.662615000000001</v>
      </c>
      <c r="H33" s="6" t="n">
        <v>-8.662615000000001</v>
      </c>
      <c r="I33" s="6" t="n">
        <v>0</v>
      </c>
      <c r="J33" s="6" t="n">
        <v>-8.662615000000001</v>
      </c>
      <c r="K33" s="6" t="n">
        <v>0</v>
      </c>
      <c r="L33" s="6" t="n">
        <v>10.015998</v>
      </c>
      <c r="M33" s="7" t="n">
        <v>1</v>
      </c>
      <c r="N33" s="6" t="n">
        <v>0.02394559584077611</v>
      </c>
      <c r="O33" s="6" t="n">
        <v>0.02394559584077611</v>
      </c>
      <c r="P33" s="6" t="n">
        <v>-8.686560595840776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5.913258</v>
      </c>
      <c r="F34" s="6" t="n">
        <v>5.924825</v>
      </c>
      <c r="G34" s="6" t="n">
        <v>0.011567</v>
      </c>
      <c r="H34" s="6" t="n">
        <v>0.011567</v>
      </c>
      <c r="I34" s="6" t="n">
        <v>0</v>
      </c>
      <c r="J34" s="6" t="n">
        <v>0.011567</v>
      </c>
      <c r="K34" s="6" t="n">
        <v>0</v>
      </c>
      <c r="L34" s="6" t="n">
        <v>5.913258</v>
      </c>
      <c r="M34" s="7" t="n">
        <v>1</v>
      </c>
      <c r="N34" s="6" t="n">
        <v>0.01413703219292137</v>
      </c>
      <c r="O34" s="6" t="n">
        <v>0.01413703219292137</v>
      </c>
      <c r="P34" s="6" t="n">
        <v>-0.002570032192921369</v>
      </c>
      <c r="Q34" s="6" t="n">
        <v>0</v>
      </c>
      <c r="R34" s="6" t="n">
        <v>0</v>
      </c>
      <c r="S34" t="inlineStr"/>
    </row>
    <row r="35">
      <c r="A35" t="inlineStr">
        <is>
          <t>S54</t>
        </is>
      </c>
      <c r="B35" t="inlineStr">
        <is>
          <t>Aave Avalanche USDC (aAvaUSDC)</t>
        </is>
      </c>
      <c r="C35" t="inlineStr">
        <is>
          <t>avalanche_c</t>
        </is>
      </c>
      <c r="D35" t="inlineStr">
        <is>
          <t>C</t>
        </is>
      </c>
      <c r="E35" s="6" t="n">
        <v>0.155165</v>
      </c>
      <c r="F35" s="6" t="n">
        <v>0.155607</v>
      </c>
      <c r="G35" s="6" t="n">
        <v>0.000442</v>
      </c>
      <c r="H35" s="6" t="n">
        <v>0.000442</v>
      </c>
      <c r="I35" s="6" t="n">
        <v>0</v>
      </c>
      <c r="J35" s="6" t="n">
        <v>0.000442</v>
      </c>
      <c r="K35" s="6" t="n">
        <v>0</v>
      </c>
      <c r="L35" s="6" t="n">
        <v>0.155165</v>
      </c>
      <c r="M35" s="7" t="n">
        <v>1</v>
      </c>
      <c r="N35" s="6" t="n">
        <v>0.0003709583786492394</v>
      </c>
      <c r="O35" s="6" t="n">
        <v>0.0003709583786492394</v>
      </c>
      <c r="P35" s="6" t="n">
        <v>7.104162135076057e-05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0.057969</v>
      </c>
      <c r="F36" s="6" t="n">
        <v>0.058128</v>
      </c>
      <c r="G36" s="6" t="n">
        <v>0.000159</v>
      </c>
      <c r="H36" s="6" t="n">
        <v>0.000159</v>
      </c>
      <c r="I36" s="6" t="n">
        <v>0</v>
      </c>
      <c r="J36" s="6" t="n">
        <v>0.000159</v>
      </c>
      <c r="K36" s="6" t="n">
        <v>0</v>
      </c>
      <c r="L36" s="6" t="n">
        <v>0.057969</v>
      </c>
      <c r="M36" s="7" t="n">
        <v>1</v>
      </c>
      <c r="N36" s="6" t="n">
        <v>0.000138588510630089</v>
      </c>
      <c r="O36" s="6" t="n">
        <v>0.000138588510630089</v>
      </c>
      <c r="P36" s="6" t="n">
        <v>2.0411489369911e-05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0.006363</v>
      </c>
      <c r="F37" s="6" t="n">
        <v>0.006375</v>
      </c>
      <c r="G37" s="6" t="n">
        <v>1.2e-05</v>
      </c>
      <c r="H37" s="6" t="n">
        <v>1.2e-05</v>
      </c>
      <c r="I37" s="6" t="n">
        <v>0</v>
      </c>
      <c r="J37" s="6" t="n">
        <v>1.2e-05</v>
      </c>
      <c r="K37" s="6" t="n">
        <v>0</v>
      </c>
      <c r="L37" s="6" t="n">
        <v>0.006363</v>
      </c>
      <c r="M37" s="7" t="n">
        <v>1</v>
      </c>
      <c r="N37" s="6" t="n">
        <v>1.521224608220353e-05</v>
      </c>
      <c r="O37" s="6" t="n">
        <v>1.521224608220353e-05</v>
      </c>
      <c r="P37" s="6" t="n">
        <v>-3.212246082203528e-06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0.005746426914602806</v>
      </c>
      <c r="F38" s="6" t="n">
        <v>0.005747618663969358</v>
      </c>
      <c r="G38" s="6" t="n">
        <v>1.191749366552e-06</v>
      </c>
      <c r="H38" s="6" t="n">
        <v>1.191749366552e-06</v>
      </c>
      <c r="I38" s="6" t="n">
        <v>0</v>
      </c>
      <c r="J38" s="6" t="n">
        <v>1.191749366552e-06</v>
      </c>
      <c r="K38" s="6" t="n">
        <v>0</v>
      </c>
      <c r="L38" s="6" t="n">
        <v>0.005746426914602806</v>
      </c>
      <c r="M38" s="7" t="n">
        <v>1</v>
      </c>
      <c r="N38" s="6" t="n">
        <v>1.373818329692526e-05</v>
      </c>
      <c r="O38" s="6" t="n">
        <v>1.373818329692526e-05</v>
      </c>
      <c r="P38" s="6" t="n">
        <v>-1.254643393037326e-05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0.001705</v>
      </c>
      <c r="F39" s="6" t="n">
        <v>0.001709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0.001705</v>
      </c>
      <c r="M39" s="7" t="n">
        <v>1</v>
      </c>
      <c r="N39" s="6" t="n">
        <v>4.076202981322807e-06</v>
      </c>
      <c r="O39" s="6" t="n">
        <v>4.076202981322807e-06</v>
      </c>
      <c r="P39" s="6" t="n">
        <v>-7.620298132280616e-08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2.964857127979014e-06</v>
      </c>
      <c r="O40" s="6" t="n">
        <v>2.964857127979014e-06</v>
      </c>
      <c r="P40" s="6" t="n">
        <v>-2.964857127979014e-06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0.000521673271312833</v>
      </c>
      <c r="F41" s="6" t="n">
        <v>0.000522139801452544</v>
      </c>
      <c r="G41" s="6" t="n">
        <v>4.66530139711e-07</v>
      </c>
      <c r="H41" s="6" t="n">
        <v>4.6653013971e-07</v>
      </c>
      <c r="I41" s="6" t="n">
        <v>0</v>
      </c>
      <c r="J41" s="6" t="n">
        <v>4.6653013971e-07</v>
      </c>
      <c r="K41" s="6" t="n">
        <v>0</v>
      </c>
      <c r="L41" s="6" t="n">
        <v>0.000521673271312833</v>
      </c>
      <c r="M41" s="7" t="n">
        <v>1</v>
      </c>
      <c r="N41" s="6" t="n">
        <v>1.247182489033309e-06</v>
      </c>
      <c r="O41" s="6" t="n">
        <v>1.247182489033309e-06</v>
      </c>
      <c r="P41" s="6" t="n">
        <v>-7.806523493233086e-07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1.790571396507918e-07</v>
      </c>
      <c r="O42" s="6" t="n">
        <v>1.790571396507918e-07</v>
      </c>
      <c r="P42" s="6" t="n">
        <v>-1.790571396507918e-07</v>
      </c>
      <c r="Q42" s="6" t="n">
        <v>0</v>
      </c>
      <c r="R42" s="6" t="n">
        <v>0</v>
      </c>
      <c r="S42" t="inlineStr"/>
    </row>
    <row r="43">
      <c r="A43" t="inlineStr">
        <is>
          <t>S15</t>
        </is>
      </c>
      <c r="B43" t="inlineStr">
        <is>
          <t>Maple syrupUSDT (ERC-4626)</t>
        </is>
      </c>
      <c r="C43" t="inlineStr">
        <is>
          <t>ethereum</t>
        </is>
      </c>
      <c r="D43" t="inlineStr">
        <is>
          <t>B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1435964.694856968</v>
      </c>
      <c r="I48" s="6" t="n">
        <v>0</v>
      </c>
      <c r="J48" s="6" t="n">
        <v>1435964.694856968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1435964.694856968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7.364216e-08</v>
      </c>
      <c r="I49" s="6" t="n">
        <v>0</v>
      </c>
      <c r="J49" s="6" t="n">
        <v>7.364216e-08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7.364216e-08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-2.3626413e-07</v>
      </c>
      <c r="I50" s="6" t="n">
        <v>0</v>
      </c>
      <c r="J50" s="6" t="n">
        <v>-2.3626413e-07</v>
      </c>
      <c r="K50" s="6" t="n">
        <v>0</v>
      </c>
      <c r="L50" s="6" t="n">
        <v>1925.254906924896</v>
      </c>
      <c r="M50" s="7" t="n">
        <v>0</v>
      </c>
      <c r="N50" s="6" t="n">
        <v>0</v>
      </c>
      <c r="O50" s="6" t="n">
        <v>0</v>
      </c>
      <c r="P50" s="6" t="n">
        <v>-2.3626413e-07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146550618.2104181</v>
      </c>
      <c r="G51" s="6" t="n">
        <v>81380618.21041812</v>
      </c>
      <c r="H51" s="6" t="n">
        <v>-2.524958539e-09</v>
      </c>
      <c r="I51" s="6" t="n">
        <v>0</v>
      </c>
      <c r="J51" s="6" t="n">
        <v>-2.524958539e-09</v>
      </c>
      <c r="K51" s="6" t="n">
        <v>0</v>
      </c>
      <c r="L51" s="6" t="n">
        <v>95010226.6771533</v>
      </c>
      <c r="M51" s="7" t="n">
        <v>0</v>
      </c>
      <c r="N51" s="6" t="n">
        <v>0</v>
      </c>
      <c r="O51" s="6" t="n">
        <v>0</v>
      </c>
      <c r="P51" s="6" t="n">
        <v>-2.524958539e-09</v>
      </c>
      <c r="Q51" s="6" t="n">
        <v>0</v>
      </c>
      <c r="R51" s="6" t="n">
        <v>0</v>
      </c>
      <c r="S51" t="inlineStr">
        <is>
          <t>CoF excluded (Savings V2 depositor capital; not in cum_alm_usds)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100304256.5863323</v>
      </c>
      <c r="G54" s="6" t="n">
        <v>10404256.58633234</v>
      </c>
      <c r="H54" s="6" t="n">
        <v>-1.484488714e-09</v>
      </c>
      <c r="I54" s="6" t="n">
        <v>0</v>
      </c>
      <c r="J54" s="6" t="n">
        <v>-1.484488714e-09</v>
      </c>
      <c r="K54" s="6" t="n">
        <v>0</v>
      </c>
      <c r="L54" s="6" t="n">
        <v>93715560.74832186</v>
      </c>
      <c r="M54" s="7" t="n">
        <v>0</v>
      </c>
      <c r="N54" s="6" t="n">
        <v>0</v>
      </c>
      <c r="O54" s="6" t="n">
        <v>0</v>
      </c>
      <c r="P54" s="6" t="n">
        <v>-1.484488714e-09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99990828.81481861</v>
      </c>
      <c r="G55" s="6" t="n">
        <v>10090828.81481861</v>
      </c>
      <c r="H55" s="6" t="n">
        <v>-2.98022377e-10</v>
      </c>
      <c r="I55" s="6" t="n">
        <v>0</v>
      </c>
      <c r="J55" s="6" t="n">
        <v>-2.98022377e-10</v>
      </c>
      <c r="K55" s="6" t="n">
        <v>0</v>
      </c>
      <c r="L55" s="6" t="n">
        <v>93600637.23210016</v>
      </c>
      <c r="M55" s="7" t="n">
        <v>0</v>
      </c>
      <c r="N55" s="6" t="n">
        <v>0</v>
      </c>
      <c r="O55" s="6" t="n">
        <v>0</v>
      </c>
      <c r="P55" s="6" t="n">
        <v>-2.98022377e-10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(effr), period avg</t>
        </is>
      </c>
      <c r="B9" s="7" t="n">
        <v>0.03625333333333333</v>
      </c>
    </row>
    <row r="10">
      <c r="A10" t="inlineStr">
        <is>
          <t>Subsidised rate (BR*), period avg</t>
        </is>
      </c>
      <c r="B10" s="7" t="n">
        <v>0.03684805644423943</v>
      </c>
    </row>
    <row r="11">
      <c r="A11" s="8" t="inlineStr">
        <is>
          <t>Effective blended rate charged</t>
        </is>
      </c>
      <c r="B11" s="10" t="n">
        <v>0.03834079216689766</v>
      </c>
    </row>
    <row r="12">
      <c r="A12" s="8" t="inlineStr">
        <is>
          <t>Diff vs base rate (bps)</t>
        </is>
      </c>
      <c r="B12" s="11" t="n">
        <v>-7.67212098784927</v>
      </c>
    </row>
    <row r="13">
      <c r="A13" s="8" t="inlineStr">
        <is>
          <t>Subsidy benefit to prime (USD)</t>
        </is>
      </c>
      <c r="B13" s="12" t="n">
        <v>178971.2647868314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9109470.453481393</v>
      </c>
    </row>
    <row r="17">
      <c r="A17" s="8" t="inlineStr">
        <is>
          <t xml:space="preserve">  = subsidy benefit</t>
        </is>
      </c>
      <c r="B17" s="12" t="n">
        <v>178971.2647868314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2974289.530660812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8938388.098683022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8959429.599513656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11674533.78166207</v>
      </c>
    </row>
    <row r="31">
      <c r="A31" t="inlineStr">
        <is>
          <t xml:space="preserve">    ↳ actual CoF on Net_Subs (BR × utilized)</t>
        </is>
      </c>
      <c r="B31" s="3" t="n">
        <v>8938388.098683022</v>
      </c>
    </row>
    <row r="32">
      <c r="A32" t="inlineStr">
        <is>
          <t xml:space="preserve">    ↳ reduction from idle/SDE deductions</t>
        </is>
      </c>
      <c r="B32" s="3" t="n">
        <v>-2736145.682979046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171082.354798371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0.0362</v>
      </c>
      <c r="M6" s="7" t="n">
        <v>0.03680583422201721</v>
      </c>
      <c r="N6" s="3" t="n">
        <v>328871.5443734901</v>
      </c>
      <c r="O6" s="3" t="n">
        <v>422088.5384580736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0.0362</v>
      </c>
      <c r="M7" s="7" t="n">
        <v>0.03680583422201721</v>
      </c>
      <c r="N7" s="3" t="n">
        <v>332378.924515697</v>
      </c>
      <c r="O7" s="3" t="n">
        <v>427451.6176656627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0.0362</v>
      </c>
      <c r="M8" s="7" t="n">
        <v>0.03680583422201721</v>
      </c>
      <c r="N8" s="3" t="n">
        <v>331720.0698500753</v>
      </c>
      <c r="O8" s="3" t="n">
        <v>426488.7538702118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0.0362</v>
      </c>
      <c r="M9" s="7" t="n">
        <v>0.03680583422201721</v>
      </c>
      <c r="N9" s="3" t="n">
        <v>326047.8655439609</v>
      </c>
      <c r="O9" s="3" t="n">
        <v>417263.8473377806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0.0362</v>
      </c>
      <c r="M10" s="7" t="n">
        <v>0.03680583422201721</v>
      </c>
      <c r="N10" s="3" t="n">
        <v>319406.0428190686</v>
      </c>
      <c r="O10" s="3" t="n">
        <v>399742.1334906419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0.0362</v>
      </c>
      <c r="M11" s="7" t="n">
        <v>0.03680583422201721</v>
      </c>
      <c r="N11" s="3" t="n">
        <v>320043.8191133141</v>
      </c>
      <c r="O11" s="3" t="n">
        <v>403809.4229262104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0.0362</v>
      </c>
      <c r="M12" s="7" t="n">
        <v>0.03680583422201721</v>
      </c>
      <c r="N12" s="3" t="n">
        <v>322496.4212176412</v>
      </c>
      <c r="O12" s="3" t="n">
        <v>408436.9319920092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0.0362</v>
      </c>
      <c r="M13" s="7" t="n">
        <v>0.03680583422201721</v>
      </c>
      <c r="N13" s="3" t="n">
        <v>316249.7906001595</v>
      </c>
      <c r="O13" s="3" t="n">
        <v>405540.7609192973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0.0362</v>
      </c>
      <c r="M14" s="7" t="n">
        <v>0.03680583422201721</v>
      </c>
      <c r="N14" s="3" t="n">
        <v>314279.7569628318</v>
      </c>
      <c r="O14" s="3" t="n">
        <v>402891.9527757948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0.0362</v>
      </c>
      <c r="M15" s="7" t="n">
        <v>0.03680583422201721</v>
      </c>
      <c r="N15" s="3" t="n">
        <v>313208.7644058768</v>
      </c>
      <c r="O15" s="3" t="n">
        <v>402287.4920322661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0.0362</v>
      </c>
      <c r="M16" s="7" t="n">
        <v>0.03680583422201721</v>
      </c>
      <c r="N16" s="3" t="n">
        <v>312562.3447133736</v>
      </c>
      <c r="O16" s="3" t="n">
        <v>401178.4833189916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0.0362</v>
      </c>
      <c r="M17" s="7" t="n">
        <v>0.03680583422201721</v>
      </c>
      <c r="N17" s="3" t="n">
        <v>316213.2924282191</v>
      </c>
      <c r="O17" s="3" t="n">
        <v>403496.5824205904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0.0362</v>
      </c>
      <c r="M18" s="7" t="n">
        <v>0.03680583422201721</v>
      </c>
      <c r="N18" s="3" t="n">
        <v>310232.0662370546</v>
      </c>
      <c r="O18" s="3" t="n">
        <v>397143.9109207783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0.0362</v>
      </c>
      <c r="M19" s="7" t="n">
        <v>0.03680583422201721</v>
      </c>
      <c r="N19" s="3" t="n">
        <v>311254.3007278022</v>
      </c>
      <c r="O19" s="3" t="n">
        <v>397755.0456375423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0.0363</v>
      </c>
      <c r="M20" s="7" t="n">
        <v>0.03688500088868387</v>
      </c>
      <c r="N20" s="3" t="n">
        <v>312580.8845328511</v>
      </c>
      <c r="O20" s="3" t="n">
        <v>400228.3688737685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0.0363</v>
      </c>
      <c r="M21" s="7" t="n">
        <v>0.03688500088868387</v>
      </c>
      <c r="N21" s="3" t="n">
        <v>283943.509511777</v>
      </c>
      <c r="O21" s="3" t="n">
        <v>371609.9739917676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0.0363</v>
      </c>
      <c r="M22" s="7" t="n">
        <v>0.03688500088868387</v>
      </c>
      <c r="N22" s="3" t="n">
        <v>283478.0946284278</v>
      </c>
      <c r="O22" s="3" t="n">
        <v>372469.6808233119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0.0363</v>
      </c>
      <c r="M23" s="7" t="n">
        <v>0.03688500088868387</v>
      </c>
      <c r="N23" s="3" t="n">
        <v>280888.178428614</v>
      </c>
      <c r="O23" s="3" t="n">
        <v>369077.5797133897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0.0363</v>
      </c>
      <c r="M24" s="7" t="n">
        <v>0.03688500088868387</v>
      </c>
      <c r="N24" s="3" t="n">
        <v>280751.0379247125</v>
      </c>
      <c r="O24" s="3" t="n">
        <v>368737.8140799199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0.0363</v>
      </c>
      <c r="M25" s="7" t="n">
        <v>0.03688500088868387</v>
      </c>
      <c r="N25" s="3" t="n">
        <v>293241.8855233512</v>
      </c>
      <c r="O25" s="3" t="n">
        <v>370758.3604021206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0.0363</v>
      </c>
      <c r="M26" s="7" t="n">
        <v>0.03688500088868387</v>
      </c>
      <c r="N26" s="3" t="n">
        <v>292951.0739497275</v>
      </c>
      <c r="O26" s="3" t="n">
        <v>370418.0109937783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0.0363</v>
      </c>
      <c r="M27" s="7" t="n">
        <v>0.03688500088868387</v>
      </c>
      <c r="N27" s="3" t="n">
        <v>292903.485130229</v>
      </c>
      <c r="O27" s="3" t="n">
        <v>368775.8833457375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0.0363</v>
      </c>
      <c r="M28" s="7" t="n">
        <v>0.03688500088868387</v>
      </c>
      <c r="N28" s="3" t="n">
        <v>292540.025103776</v>
      </c>
      <c r="O28" s="3" t="n">
        <v>367768.4940876255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0.0363</v>
      </c>
      <c r="M29" s="7" t="n">
        <v>0.03688500088868387</v>
      </c>
      <c r="N29" s="3" t="n">
        <v>289224.3159347967</v>
      </c>
      <c r="O29" s="3" t="n">
        <v>365031.4634654266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0.0363</v>
      </c>
      <c r="M30" s="7" t="n">
        <v>0.03688500088868387</v>
      </c>
      <c r="N30" s="3" t="n">
        <v>290704.8908496163</v>
      </c>
      <c r="O30" s="3" t="n">
        <v>372258.2433137374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0.0363</v>
      </c>
      <c r="M31" s="7" t="n">
        <v>0.03688500088868387</v>
      </c>
      <c r="N31" s="3" t="n">
        <v>291996.5070086862</v>
      </c>
      <c r="O31" s="3" t="n">
        <v>374451.047250131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0.0363</v>
      </c>
      <c r="M32" s="7" t="n">
        <v>0.03688500088868387</v>
      </c>
      <c r="N32" s="3" t="n">
        <v>290575.83753044</v>
      </c>
      <c r="O32" s="3" t="n">
        <v>372788.6687517141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0.0363</v>
      </c>
      <c r="M33" s="7" t="n">
        <v>0.03688500088868387</v>
      </c>
      <c r="N33" s="3" t="n">
        <v>290576.1970608669</v>
      </c>
      <c r="O33" s="3" t="n">
        <v>372759.6028959002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0.0363</v>
      </c>
      <c r="M34" s="7" t="n">
        <v>0.03688500088868387</v>
      </c>
      <c r="N34" s="3" t="n">
        <v>289071.3915046069</v>
      </c>
      <c r="O34" s="3" t="n">
        <v>370536.1472642949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0.0363</v>
      </c>
      <c r="M35" s="7" t="n">
        <v>0.03688500088868387</v>
      </c>
      <c r="N35" s="3" t="n">
        <v>279078.1353503489</v>
      </c>
      <c r="O35" s="3" t="n">
        <v>371288.9686435931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9109470.453481393</v>
      </c>
      <c r="O37" s="12" t="n">
        <v>11674533.78166207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2026-07-07T01:11:00Z</dcterms:created>
  <dcterms:modified xmlns:dcterms="http://purl.org/dc/terms/" xmlns:xsi="http://www.w3.org/2001/XMLSchema-instance" xsi:type="dcterms:W3CDTF">2026-07-07T01:11:00Z</dcterms:modified>
</cp:coreProperties>
</file>