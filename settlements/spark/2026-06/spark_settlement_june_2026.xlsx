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11279641.55178227</v>
      </c>
    </row>
    <row r="5">
      <c r="A5" t="inlineStr">
        <is>
          <t>+ agent_rate (subproxy USDS / sUSDS yield)</t>
        </is>
      </c>
      <c r="B5" s="3" t="n">
        <v>114862.809962623</v>
      </c>
    </row>
    <row r="6">
      <c r="A6" t="inlineStr">
        <is>
          <t>+ distribution_rewards (settle-dr-dune)</t>
        </is>
      </c>
      <c r="B6" s="3" t="n">
        <v>1648334.12</v>
      </c>
    </row>
    <row r="7">
      <c r="A7" t="inlineStr"/>
      <c r="B7" s="4" t="n">
        <v>13042838.48174489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9054205.487267924</v>
      </c>
    </row>
    <row r="11">
      <c r="A11" t="inlineStr">
        <is>
          <t>+ SDE revenue (Sky-Direct, full to Sky)</t>
        </is>
      </c>
      <c r="B11" s="3" t="n">
        <v>21041.50083063317</v>
      </c>
    </row>
    <row r="12">
      <c r="A12" t="inlineStr"/>
      <c r="B12" s="4" t="n">
        <v>9075246.988098558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9054205.487267924</v>
      </c>
    </row>
    <row r="16">
      <c r="A16" t="inlineStr">
        <is>
          <t>reduction from idle/SDE deductions</t>
        </is>
      </c>
      <c r="B16" s="3" t="n">
        <v>-2736145.692648868</v>
      </c>
    </row>
    <row r="17">
      <c r="A17" t="inlineStr"/>
      <c r="B17" s="4" t="n">
        <v>11790351.17991679</v>
      </c>
    </row>
    <row r="19">
      <c r="A19" s="5" t="inlineStr">
        <is>
          <t>sUSDS spread (Curve LP + PSM3) — deducted from sky_revenue</t>
        </is>
      </c>
      <c r="B19" s="3" t="n">
        <v>171082.3644681933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11279641.55178227</v>
      </c>
    </row>
    <row r="23">
      <c r="A23" t="inlineStr">
        <is>
          <t>− CoF (deducted per-venue in display)</t>
        </is>
      </c>
      <c r="B23" s="3" t="n">
        <v>-9054205.487267924</v>
      </c>
    </row>
    <row r="24">
      <c r="A24" t="inlineStr"/>
      <c r="B24" s="4" t="n">
        <v>1243948.415296367</v>
      </c>
    </row>
    <row r="26">
      <c r="A26" t="inlineStr">
        <is>
          <t>Period</t>
        </is>
      </c>
      <c r="B26" t="inlineStr">
        <is>
          <t>2026-06-01 → 2026-06-30 (30 days)</t>
        </is>
      </c>
    </row>
    <row r="27">
      <c r="A27" t="inlineStr">
        <is>
          <t>Pin blocks</t>
        </is>
      </c>
      <c r="B27" t="inlineStr">
        <is>
          <t>arbitrum=479089705, avalanche_c=89166730, base=48037326, ethereum=25433938, optimism=153632611, unichain=52115640</t>
        </is>
      </c>
    </row>
    <row r="28">
      <c r="A28" t="inlineStr">
        <is>
          <t>Generated</t>
        </is>
      </c>
      <c r="B28" t="inlineStr">
        <is>
          <t>2026-07-31T00:23:57+00:00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3026673.571263072</v>
      </c>
      <c r="I2" s="6" t="n">
        <v>0</v>
      </c>
      <c r="J2" s="6" t="n">
        <v>3026673.571263072</v>
      </c>
      <c r="K2" s="6" t="n">
        <v>0</v>
      </c>
      <c r="L2" s="6" t="n">
        <v>1334080836.056432</v>
      </c>
      <c r="M2" s="7" t="n">
        <v>1</v>
      </c>
      <c r="N2" s="6" t="n">
        <v>3055169.986446361</v>
      </c>
      <c r="O2" s="6" t="n">
        <v>3055169.986446361</v>
      </c>
      <c r="P2" s="6" t="n">
        <v>-28496.41518328837</v>
      </c>
      <c r="Q2" s="6" t="n">
        <v>0</v>
      </c>
      <c r="R2" s="6" t="n">
        <v>0</v>
      </c>
      <c r="S2" t="inlineStr"/>
    </row>
    <row r="3">
      <c r="A3" t="inlineStr">
        <is>
          <t>S27</t>
        </is>
      </c>
      <c r="B3" t="inlineStr">
        <is>
          <t>USDT raw (ALM idle — $442M as of 2026-04)</t>
        </is>
      </c>
      <c r="C3" t="inlineStr">
        <is>
          <t>ethereum</t>
        </is>
      </c>
      <c r="D3" t="inlineStr">
        <is>
          <t>A</t>
        </is>
      </c>
      <c r="E3" s="6" t="n">
        <v>608678684.51526</v>
      </c>
      <c r="F3" s="6" t="n">
        <v>206394227.300838</v>
      </c>
      <c r="G3" s="6" t="n">
        <v>-402284457.214422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595269202.6081126</v>
      </c>
      <c r="M3" s="7" t="n">
        <v>1</v>
      </c>
      <c r="N3" s="6" t="n">
        <v>1363222.192022578</v>
      </c>
      <c r="O3" s="6" t="n">
        <v>1363222.192022578</v>
      </c>
      <c r="P3" s="6" t="n">
        <v>-1363222.192022578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495837665.420656</v>
      </c>
      <c r="F4" s="6" t="n">
        <v>527947034.437084</v>
      </c>
      <c r="G4" s="6" t="n">
        <v>32109369.016428</v>
      </c>
      <c r="H4" s="6" t="n">
        <v>1098488.169146</v>
      </c>
      <c r="I4" s="6" t="n">
        <v>0</v>
      </c>
      <c r="J4" s="6" t="n">
        <v>1098488.169146</v>
      </c>
      <c r="K4" s="6" t="n">
        <v>0</v>
      </c>
      <c r="L4" s="6" t="n">
        <v>496871361.4488987</v>
      </c>
      <c r="M4" s="7" t="n">
        <v>1</v>
      </c>
      <c r="N4" s="6" t="n">
        <v>1137881.925589106</v>
      </c>
      <c r="O4" s="6" t="n">
        <v>1137881.925589106</v>
      </c>
      <c r="P4" s="6" t="n">
        <v>-39393.75644310547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550178045.362034</v>
      </c>
      <c r="F5" s="6" t="n">
        <v>488789298.208332</v>
      </c>
      <c r="G5" s="6" t="n">
        <v>-61388747.15370198</v>
      </c>
      <c r="H5" s="6" t="n">
        <v>996446.4198392286</v>
      </c>
      <c r="I5" s="6" t="n">
        <v>0</v>
      </c>
      <c r="J5" s="6" t="n">
        <v>996446.4198392286</v>
      </c>
      <c r="K5" s="6" t="n">
        <v>0</v>
      </c>
      <c r="L5" s="6" t="n">
        <v>391180692.315285</v>
      </c>
      <c r="M5" s="7" t="n">
        <v>1</v>
      </c>
      <c r="N5" s="6" t="n">
        <v>895840.4004751126</v>
      </c>
      <c r="O5" s="6" t="n">
        <v>895840.4004751126</v>
      </c>
      <c r="P5" s="6" t="n">
        <v>100606.019364116</v>
      </c>
      <c r="Q5" s="6" t="n">
        <v>156917846.5942976</v>
      </c>
      <c r="R5" s="6" t="n">
        <v>0</v>
      </c>
      <c r="S5" t="inlineStr">
        <is>
          <t>(avg excl. lending_idle)</t>
        </is>
      </c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1564645.000000004</v>
      </c>
      <c r="I6" s="6" t="n">
        <v>0</v>
      </c>
      <c r="J6" s="6" t="n">
        <v>1564645.000000004</v>
      </c>
      <c r="K6" s="6" t="n">
        <v>0</v>
      </c>
      <c r="L6" s="6" t="n">
        <v>256121666.0569609</v>
      </c>
      <c r="M6" s="7" t="n">
        <v>1</v>
      </c>
      <c r="N6" s="6" t="n">
        <v>586542.5886252404</v>
      </c>
      <c r="O6" s="6" t="n">
        <v>586542.5886252404</v>
      </c>
      <c r="P6" s="6" t="n">
        <v>978102.4113747637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405521.4646619409</v>
      </c>
      <c r="O7" s="6" t="n">
        <v>405521.4646619409</v>
      </c>
      <c r="P7" s="6" t="n">
        <v>108281.8393237228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144183127.2756985</v>
      </c>
      <c r="G8" s="6" t="n">
        <v>418515.6956130954</v>
      </c>
      <c r="H8" s="6" t="n">
        <v>418515.6956130954</v>
      </c>
      <c r="I8" s="6" t="n">
        <v>0</v>
      </c>
      <c r="J8" s="6" t="n">
        <v>418515.6956130954</v>
      </c>
      <c r="K8" s="6" t="n">
        <v>0</v>
      </c>
      <c r="L8" s="6" t="n">
        <v>143764611.5800855</v>
      </c>
      <c r="M8" s="7" t="n">
        <v>1</v>
      </c>
      <c r="N8" s="6" t="n">
        <v>329234.4170919614</v>
      </c>
      <c r="O8" s="6" t="n">
        <v>293838.5306173611</v>
      </c>
      <c r="P8" s="6" t="n">
        <v>89281.27852113397</v>
      </c>
      <c r="Q8" s="6" t="n">
        <v>0</v>
      </c>
      <c r="R8" s="6" t="n">
        <v>35395.88647460032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201095497.4250933</v>
      </c>
      <c r="G9" s="6" t="n">
        <v>98744068.96433853</v>
      </c>
      <c r="H9" s="6" t="n">
        <v>393303.6054492357</v>
      </c>
      <c r="I9" s="6" t="n">
        <v>0</v>
      </c>
      <c r="J9" s="6" t="n">
        <v>393303.6054492357</v>
      </c>
      <c r="K9" s="6" t="n">
        <v>0</v>
      </c>
      <c r="L9" s="6" t="n">
        <v>138414109.5363883</v>
      </c>
      <c r="M9" s="7" t="n">
        <v>1</v>
      </c>
      <c r="N9" s="6" t="n">
        <v>316981.2665972398</v>
      </c>
      <c r="O9" s="6" t="n">
        <v>282902.7123982206</v>
      </c>
      <c r="P9" s="6" t="n">
        <v>76322.3388519959</v>
      </c>
      <c r="Q9" s="6" t="n">
        <v>0</v>
      </c>
      <c r="R9" s="6" t="n">
        <v>34078.55419901927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211445951.3696985</v>
      </c>
      <c r="G10" s="6" t="n">
        <v>135442523.0743815</v>
      </c>
      <c r="H10" s="6" t="n">
        <v>352217.9792907777</v>
      </c>
      <c r="I10" s="6" t="n">
        <v>0</v>
      </c>
      <c r="J10" s="6" t="n">
        <v>352217.9792907777</v>
      </c>
      <c r="K10" s="6" t="n">
        <v>0</v>
      </c>
      <c r="L10" s="6" t="n">
        <v>125537273.940891</v>
      </c>
      <c r="M10" s="7" t="n">
        <v>1</v>
      </c>
      <c r="N10" s="6" t="n">
        <v>287492.1077932952</v>
      </c>
      <c r="O10" s="6" t="n">
        <v>256583.9235892341</v>
      </c>
      <c r="P10" s="6" t="n">
        <v>64725.87149748252</v>
      </c>
      <c r="Q10" s="6" t="n">
        <v>0</v>
      </c>
      <c r="R10" s="6" t="n">
        <v>30908.18420406113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240674.3096638738</v>
      </c>
      <c r="O11" s="6" t="n">
        <v>240674.3096638738</v>
      </c>
      <c r="P11" s="6" t="n">
        <v>174419.8735234396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229008.7713537646</v>
      </c>
      <c r="O12" s="6" t="n">
        <v>229008.7713537646</v>
      </c>
      <c r="P12" s="6" t="n">
        <v>-202241.4324067646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221371.7792112366</v>
      </c>
      <c r="O13" s="6" t="n">
        <v>221371.7792112366</v>
      </c>
      <c r="P13" s="6" t="n">
        <v>-191245.6346909044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-69608.80145092019</v>
      </c>
      <c r="P14" s="6" t="n">
        <v>0</v>
      </c>
      <c r="Q14" s="6" t="n">
        <v>0</v>
      </c>
      <c r="R14" s="6" t="n">
        <v>69608.80145092019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45087.94574598421</v>
      </c>
      <c r="O15" s="6" t="n">
        <v>45087.94574598421</v>
      </c>
      <c r="P15" s="6" t="n">
        <v>50559.37394423078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12183497.214187</v>
      </c>
      <c r="F16" s="6" t="n">
        <v>6740456.351987</v>
      </c>
      <c r="G16" s="6" t="n">
        <v>-5443040.8622</v>
      </c>
      <c r="H16" s="6" t="n">
        <v>37354.346376</v>
      </c>
      <c r="I16" s="6" t="n">
        <v>0</v>
      </c>
      <c r="J16" s="6" t="n">
        <v>37354.346376</v>
      </c>
      <c r="K16" s="6" t="n">
        <v>0</v>
      </c>
      <c r="L16" s="6" t="n">
        <v>12000817.37390113</v>
      </c>
      <c r="M16" s="7" t="n">
        <v>1</v>
      </c>
      <c r="N16" s="6" t="n">
        <v>27482.99507992921</v>
      </c>
      <c r="O16" s="6" t="n">
        <v>27482.99507992921</v>
      </c>
      <c r="P16" s="6" t="n">
        <v>9871.351296070787</v>
      </c>
      <c r="Q16" s="6" t="n">
        <v>0</v>
      </c>
      <c r="R16" s="6" t="n">
        <v>0</v>
      </c>
      <c r="S16" t="inlineStr"/>
    </row>
    <row r="17">
      <c r="A17" t="inlineStr">
        <is>
          <t>S11</t>
        </is>
      </c>
      <c r="B17" t="inlineStr">
        <is>
          <t>Spark Blue Chip USDT Vault (Morpho V2)</t>
        </is>
      </c>
      <c r="C17" t="inlineStr">
        <is>
          <t>ethereum</t>
        </is>
      </c>
      <c r="D17" t="inlineStr">
        <is>
          <t>B</t>
        </is>
      </c>
      <c r="E17" s="6" t="n">
        <v>71943502.10038626</v>
      </c>
      <c r="F17" s="6" t="n">
        <v>1.753936570309431</v>
      </c>
      <c r="G17" s="6" t="n">
        <v>-71943500.34644969</v>
      </c>
      <c r="H17" s="6" t="n">
        <v>44146.08796725513</v>
      </c>
      <c r="I17" s="6" t="n">
        <v>0</v>
      </c>
      <c r="J17" s="6" t="n">
        <v>44146.08796725513</v>
      </c>
      <c r="K17" s="6" t="n">
        <v>0</v>
      </c>
      <c r="L17" s="6" t="n">
        <v>11177050.57225555</v>
      </c>
      <c r="M17" s="7" t="n">
        <v>1</v>
      </c>
      <c r="N17" s="6" t="n">
        <v>25596.49199840826</v>
      </c>
      <c r="O17" s="6" t="n">
        <v>25596.49199840826</v>
      </c>
      <c r="P17" s="6" t="n">
        <v>18549.59596884687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48750265.64989898</v>
      </c>
      <c r="F18" s="6" t="n">
        <v>0.823120129440027</v>
      </c>
      <c r="G18" s="6" t="n">
        <v>-48750264.82677885</v>
      </c>
      <c r="H18" s="6" t="n">
        <v>19891.47439593931</v>
      </c>
      <c r="I18" s="6" t="n">
        <v>11483.07201201587</v>
      </c>
      <c r="J18" s="6" t="n">
        <v>11483.07201201587</v>
      </c>
      <c r="K18" s="6" t="n">
        <v>19891.47439593931</v>
      </c>
      <c r="L18" s="6" t="n">
        <v>47124211.00412609</v>
      </c>
      <c r="M18" s="7" t="n">
        <v>0</v>
      </c>
      <c r="N18" s="6" t="n">
        <v>0</v>
      </c>
      <c r="O18" s="6" t="n">
        <v>19891.47439593931</v>
      </c>
      <c r="P18" s="6" t="n">
        <v>11483.07201201587</v>
      </c>
      <c r="Q18" s="6" t="n">
        <v>47124211.00412609</v>
      </c>
      <c r="R18" s="6" t="n">
        <v>0</v>
      </c>
      <c r="S18" t="inlineStr">
        <is>
          <t>SDE (fixed)</t>
        </is>
      </c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5019997.4</v>
      </c>
      <c r="F19" s="6" t="n">
        <v>0</v>
      </c>
      <c r="G19" s="6" t="n">
        <v>-5019997.4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4852664.153333333</v>
      </c>
      <c r="M19" s="7" t="n">
        <v>1</v>
      </c>
      <c r="N19" s="6" t="n">
        <v>11113.05512744882</v>
      </c>
      <c r="O19" s="6" t="n">
        <v>11113.05512744882</v>
      </c>
      <c r="P19" s="6" t="n">
        <v>-11113.05512744882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4997576.708614</v>
      </c>
      <c r="F20" s="6" t="n">
        <v>0</v>
      </c>
      <c r="G20" s="6" t="n">
        <v>-4997576.708614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4830990.818326866</v>
      </c>
      <c r="M20" s="7" t="n">
        <v>1</v>
      </c>
      <c r="N20" s="6" t="n">
        <v>11063.42116162881</v>
      </c>
      <c r="O20" s="6" t="n">
        <v>11063.42116162881</v>
      </c>
      <c r="P20" s="6" t="n">
        <v>-11063.42116162881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4992819.462732</v>
      </c>
      <c r="F21" s="6" t="n">
        <v>0</v>
      </c>
      <c r="G21" s="6" t="n">
        <v>-4992819.462732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4826392.1473076</v>
      </c>
      <c r="M21" s="7" t="n">
        <v>1</v>
      </c>
      <c r="N21" s="6" t="n">
        <v>11052.8897745525</v>
      </c>
      <c r="O21" s="6" t="n">
        <v>11052.8897745525</v>
      </c>
      <c r="P21" s="6" t="n">
        <v>-11052.8897745525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4975417.167355</v>
      </c>
      <c r="F22" s="6" t="n">
        <v>0</v>
      </c>
      <c r="G22" s="6" t="n">
        <v>-4975417.167355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4809569.928443166</v>
      </c>
      <c r="M22" s="7" t="n">
        <v>1</v>
      </c>
      <c r="N22" s="6" t="n">
        <v>11014.36531876916</v>
      </c>
      <c r="O22" s="6" t="n">
        <v>11014.36531876916</v>
      </c>
      <c r="P22" s="6" t="n">
        <v>-11014.36531876916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985396.9281006901</v>
      </c>
      <c r="F23" s="6" t="n">
        <v>104355616.018357</v>
      </c>
      <c r="G23" s="6" t="n">
        <v>103370219.0902563</v>
      </c>
      <c r="H23" s="6" t="n">
        <v>2868.606371807529</v>
      </c>
      <c r="I23" s="6" t="n">
        <v>0</v>
      </c>
      <c r="J23" s="6" t="n">
        <v>2868.606371807529</v>
      </c>
      <c r="K23" s="6" t="n">
        <v>0</v>
      </c>
      <c r="L23" s="6" t="n">
        <v>4430975.277563506</v>
      </c>
      <c r="M23" s="7" t="n">
        <v>1</v>
      </c>
      <c r="N23" s="6" t="n">
        <v>10147.34813125313</v>
      </c>
      <c r="O23" s="6" t="n">
        <v>9056.409991660761</v>
      </c>
      <c r="P23" s="6" t="n">
        <v>-7278.741759445605</v>
      </c>
      <c r="Q23" s="6" t="n">
        <v>0</v>
      </c>
      <c r="R23" s="6" t="n">
        <v>1090.938139592373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3501087.141508509</v>
      </c>
      <c r="F24" s="6" t="n">
        <v>640616.8200220506</v>
      </c>
      <c r="G24" s="6" t="n">
        <v>-2860470.321486458</v>
      </c>
      <c r="H24" s="6" t="n">
        <v>4911.11634148522</v>
      </c>
      <c r="I24" s="6" t="n">
        <v>0</v>
      </c>
      <c r="J24" s="6" t="n">
        <v>4911.11634148522</v>
      </c>
      <c r="K24" s="6" t="n">
        <v>0</v>
      </c>
      <c r="L24" s="6" t="n">
        <v>1459844.806102522</v>
      </c>
      <c r="M24" s="7" t="n">
        <v>1</v>
      </c>
      <c r="N24" s="6" t="n">
        <v>3343.181249539641</v>
      </c>
      <c r="O24" s="6" t="n">
        <v>3343.181249539641</v>
      </c>
      <c r="P24" s="6" t="n">
        <v>1567.935091945579</v>
      </c>
      <c r="Q24" s="6" t="n">
        <v>0</v>
      </c>
      <c r="R24" s="6" t="n">
        <v>0</v>
      </c>
      <c r="S24" t="inlineStr"/>
    </row>
    <row r="25">
      <c r="A25" t="inlineStr">
        <is>
          <t>S61</t>
        </is>
      </c>
      <c r="B25" t="inlineStr">
        <is>
          <t>Spark.fi PYUSD Reserve Uniswap V4 (PYUSD/USDS)</t>
        </is>
      </c>
      <c r="C25" t="inlineStr">
        <is>
          <t>ethereum</t>
        </is>
      </c>
      <c r="D25" t="inlineStr">
        <is>
          <t>F</t>
        </is>
      </c>
      <c r="E25" s="6" t="n">
        <v>220002.6507685304</v>
      </c>
      <c r="F25" s="6" t="n">
        <v>100119969.930802</v>
      </c>
      <c r="G25" s="6" t="n">
        <v>99899967.28003348</v>
      </c>
      <c r="H25" s="6" t="n">
        <v>1030.276249266686</v>
      </c>
      <c r="I25" s="6" t="n">
        <v>0</v>
      </c>
      <c r="J25" s="6" t="n">
        <v>0</v>
      </c>
      <c r="K25" s="6" t="n">
        <v>1030.276249266686</v>
      </c>
      <c r="L25" s="6" t="n">
        <v>22121073.51134836</v>
      </c>
      <c r="M25" s="7" t="n">
        <v>0</v>
      </c>
      <c r="N25" s="6" t="n">
        <v>0</v>
      </c>
      <c r="O25" s="6" t="n">
        <v>1030.276249266686</v>
      </c>
      <c r="P25" s="6" t="n">
        <v>0</v>
      </c>
      <c r="Q25" s="6" t="n">
        <v>22121073.51134836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424.9110349025811</v>
      </c>
      <c r="F26" s="6" t="n">
        <v>394.3129623374141</v>
      </c>
      <c r="G26" s="6" t="n">
        <v>-30.59807256516697</v>
      </c>
      <c r="H26" s="6" t="n">
        <v>690.3378764287719</v>
      </c>
      <c r="I26" s="6" t="n">
        <v>0</v>
      </c>
      <c r="J26" s="6" t="n">
        <v>690.3378764287719</v>
      </c>
      <c r="K26" s="6" t="n">
        <v>0</v>
      </c>
      <c r="L26" s="6" t="n">
        <v>193331.1163669253</v>
      </c>
      <c r="M26" s="7" t="n">
        <v>1</v>
      </c>
      <c r="N26" s="6" t="n">
        <v>442.7463525496694</v>
      </c>
      <c r="O26" s="6" t="n">
        <v>442.7463525496694</v>
      </c>
      <c r="P26" s="6" t="n">
        <v>247.5915238791025</v>
      </c>
      <c r="Q26" s="6" t="n">
        <v>0</v>
      </c>
      <c r="R26" s="6" t="n">
        <v>0</v>
      </c>
      <c r="S26" t="inlineStr"/>
    </row>
    <row r="27">
      <c r="A27" t="inlineStr">
        <is>
          <t>S62</t>
        </is>
      </c>
      <c r="B27" t="inlineStr">
        <is>
          <t>Spark.fi USDT Reserve Uniswap V4 (USDT/USDS)</t>
        </is>
      </c>
      <c r="C27" t="inlineStr">
        <is>
          <t>ethereum</t>
        </is>
      </c>
      <c r="D27" t="inlineStr">
        <is>
          <t>F</t>
        </is>
      </c>
      <c r="E27" s="6" t="n">
        <v>1250066.267840007</v>
      </c>
      <c r="F27" s="6" t="n">
        <v>50000000.01256605</v>
      </c>
      <c r="G27" s="6" t="n">
        <v>48749933.74472605</v>
      </c>
      <c r="H27" s="6" t="n">
        <v>119.7501854271759</v>
      </c>
      <c r="I27" s="6" t="n">
        <v>0</v>
      </c>
      <c r="J27" s="6" t="n">
        <v>0</v>
      </c>
      <c r="K27" s="6" t="n">
        <v>119.7501854271759</v>
      </c>
      <c r="L27" s="6" t="n">
        <v>18435553.22634522</v>
      </c>
      <c r="M27" s="7" t="n">
        <v>0</v>
      </c>
      <c r="N27" s="6" t="n">
        <v>0</v>
      </c>
      <c r="O27" s="6" t="n">
        <v>119.7501854271759</v>
      </c>
      <c r="P27" s="6" t="n">
        <v>0</v>
      </c>
      <c r="Q27" s="6" t="n">
        <v>18435553.22634522</v>
      </c>
      <c r="R27" s="6" t="n">
        <v>0</v>
      </c>
      <c r="S27" t="inlineStr">
        <is>
          <t>SDE (fixed)</t>
        </is>
      </c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539.8728953809741</v>
      </c>
      <c r="F28" s="6" t="n">
        <v>637.4866706248019</v>
      </c>
      <c r="G28" s="6" t="n">
        <v>97.6137752438278</v>
      </c>
      <c r="H28" s="6" t="n">
        <v>97.6137752438278</v>
      </c>
      <c r="I28" s="6" t="n">
        <v>0</v>
      </c>
      <c r="J28" s="6" t="n">
        <v>97.6137752438278</v>
      </c>
      <c r="K28" s="6" t="n">
        <v>0</v>
      </c>
      <c r="L28" s="6" t="n">
        <v>539.8728953809741</v>
      </c>
      <c r="M28" s="7" t="n">
        <v>1</v>
      </c>
      <c r="N28" s="6" t="n">
        <v>1.236359463298728</v>
      </c>
      <c r="O28" s="6" t="n">
        <v>1.236359463298728</v>
      </c>
      <c r="P28" s="6" t="n">
        <v>96.37741578052908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0.650151273065451</v>
      </c>
      <c r="O29" s="6" t="n">
        <v>0.650151273065451</v>
      </c>
      <c r="P29" s="6" t="n">
        <v>-0.650151273065451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99.81305763596731</v>
      </c>
      <c r="F30" s="6" t="n">
        <v>100.1238263246728</v>
      </c>
      <c r="G30" s="6" t="n">
        <v>0.3107686887055447</v>
      </c>
      <c r="H30" s="6" t="n">
        <v>0.3107686887055447</v>
      </c>
      <c r="I30" s="6" t="n">
        <v>0</v>
      </c>
      <c r="J30" s="6" t="n">
        <v>0.3107686887055447</v>
      </c>
      <c r="K30" s="6" t="n">
        <v>0</v>
      </c>
      <c r="L30" s="6" t="n">
        <v>99.81305763596731</v>
      </c>
      <c r="M30" s="7" t="n">
        <v>1</v>
      </c>
      <c r="N30" s="6" t="n">
        <v>0.2285812446315275</v>
      </c>
      <c r="O30" s="6" t="n">
        <v>0.2285812446315275</v>
      </c>
      <c r="P30" s="6" t="n">
        <v>0.08218744407401721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21.90661272343654</v>
      </c>
      <c r="F31" s="6" t="n">
        <v>21.90842102645718</v>
      </c>
      <c r="G31" s="6" t="n">
        <v>0.001808303020639377</v>
      </c>
      <c r="H31" s="6" t="n">
        <v>0.0001839966329158897</v>
      </c>
      <c r="I31" s="6" t="n">
        <v>0</v>
      </c>
      <c r="J31" s="6" t="n">
        <v>0.0001839966329158897</v>
      </c>
      <c r="K31" s="6" t="n">
        <v>0</v>
      </c>
      <c r="L31" s="6" t="n">
        <v>21.90693758471409</v>
      </c>
      <c r="M31" s="7" t="n">
        <v>1</v>
      </c>
      <c r="N31" s="6" t="n">
        <v>0.05016893758973168</v>
      </c>
      <c r="O31" s="6" t="n">
        <v>0.05016893758973168</v>
      </c>
      <c r="P31" s="6" t="n">
        <v>-0.04998494095681579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10.015998</v>
      </c>
      <c r="F32" s="6" t="n">
        <v>1.353383</v>
      </c>
      <c r="G32" s="6" t="n">
        <v>-8.662615000000001</v>
      </c>
      <c r="H32" s="6" t="n">
        <v>-8.662615000000001</v>
      </c>
      <c r="I32" s="6" t="n">
        <v>0</v>
      </c>
      <c r="J32" s="6" t="n">
        <v>-8.662615000000001</v>
      </c>
      <c r="K32" s="6" t="n">
        <v>0</v>
      </c>
      <c r="L32" s="6" t="n">
        <v>10.015998</v>
      </c>
      <c r="M32" s="7" t="n">
        <v>1</v>
      </c>
      <c r="N32" s="6" t="n">
        <v>0.02293757293175926</v>
      </c>
      <c r="O32" s="6" t="n">
        <v>0.02293757293175926</v>
      </c>
      <c r="P32" s="6" t="n">
        <v>-8.685552572931758</v>
      </c>
      <c r="Q32" s="6" t="n">
        <v>0</v>
      </c>
      <c r="R32" s="6" t="n">
        <v>0</v>
      </c>
      <c r="S32" t="inlineStr"/>
    </row>
    <row r="33">
      <c r="A33" t="inlineStr">
        <is>
          <t>S9</t>
        </is>
      </c>
      <c r="B33" t="inlineStr">
        <is>
          <t>Aave Ethereum USDT (aToken)</t>
        </is>
      </c>
      <c r="C33" t="inlineStr">
        <is>
          <t>ethereum</t>
        </is>
      </c>
      <c r="D33" t="inlineStr">
        <is>
          <t>C</t>
        </is>
      </c>
      <c r="E33" s="6" t="n">
        <v>5.913258</v>
      </c>
      <c r="F33" s="6" t="n">
        <v>5.924825</v>
      </c>
      <c r="G33" s="6" t="n">
        <v>0.011567</v>
      </c>
      <c r="H33" s="6" t="n">
        <v>0.011567</v>
      </c>
      <c r="I33" s="6" t="n">
        <v>0</v>
      </c>
      <c r="J33" s="6" t="n">
        <v>0.011567</v>
      </c>
      <c r="K33" s="6" t="n">
        <v>0</v>
      </c>
      <c r="L33" s="6" t="n">
        <v>5.913258</v>
      </c>
      <c r="M33" s="7" t="n">
        <v>1</v>
      </c>
      <c r="N33" s="6" t="n">
        <v>0.01354191430941868</v>
      </c>
      <c r="O33" s="6" t="n">
        <v>0.01354191430941868</v>
      </c>
      <c r="P33" s="6" t="n">
        <v>-0.001974914309418679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0.155165</v>
      </c>
      <c r="F34" s="6" t="n">
        <v>0.155607</v>
      </c>
      <c r="G34" s="6" t="n">
        <v>0.000442</v>
      </c>
      <c r="H34" s="6" t="n">
        <v>0.000442</v>
      </c>
      <c r="I34" s="6" t="n">
        <v>0</v>
      </c>
      <c r="J34" s="6" t="n">
        <v>0.000442</v>
      </c>
      <c r="K34" s="6" t="n">
        <v>0</v>
      </c>
      <c r="L34" s="6" t="n">
        <v>0.155165</v>
      </c>
      <c r="M34" s="7" t="n">
        <v>1</v>
      </c>
      <c r="N34" s="6" t="n">
        <v>0.0003553423736662512</v>
      </c>
      <c r="O34" s="6" t="n">
        <v>0.0003553423736662512</v>
      </c>
      <c r="P34" s="6" t="n">
        <v>8.665762633374878e-05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0.057969</v>
      </c>
      <c r="F35" s="6" t="n">
        <v>0.058128</v>
      </c>
      <c r="G35" s="6" t="n">
        <v>0.000159</v>
      </c>
      <c r="H35" s="6" t="n">
        <v>0.000159</v>
      </c>
      <c r="I35" s="6" t="n">
        <v>0</v>
      </c>
      <c r="J35" s="6" t="n">
        <v>0.000159</v>
      </c>
      <c r="K35" s="6" t="n">
        <v>0</v>
      </c>
      <c r="L35" s="6" t="n">
        <v>0.057969</v>
      </c>
      <c r="M35" s="7" t="n">
        <v>1</v>
      </c>
      <c r="N35" s="6" t="n">
        <v>0.0001327544359814321</v>
      </c>
      <c r="O35" s="6" t="n">
        <v>0.0001327544359814321</v>
      </c>
      <c r="P35" s="6" t="n">
        <v>2.624556401856786e-05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0.006363</v>
      </c>
      <c r="F36" s="6" t="n">
        <v>0.006375</v>
      </c>
      <c r="G36" s="6" t="n">
        <v>1.2e-05</v>
      </c>
      <c r="H36" s="6" t="n">
        <v>1.2e-05</v>
      </c>
      <c r="I36" s="6" t="n">
        <v>0</v>
      </c>
      <c r="J36" s="6" t="n">
        <v>1.2e-05</v>
      </c>
      <c r="K36" s="6" t="n">
        <v>0</v>
      </c>
      <c r="L36" s="6" t="n">
        <v>0.006363</v>
      </c>
      <c r="M36" s="7" t="n">
        <v>1</v>
      </c>
      <c r="N36" s="6" t="n">
        <v>1.457186558591407e-05</v>
      </c>
      <c r="O36" s="6" t="n">
        <v>1.457186558591407e-05</v>
      </c>
      <c r="P36" s="6" t="n">
        <v>-2.57186558591407e-06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0.005746426914602806</v>
      </c>
      <c r="F37" s="6" t="n">
        <v>0.005747618663969358</v>
      </c>
      <c r="G37" s="6" t="n">
        <v>1.191749366552e-06</v>
      </c>
      <c r="H37" s="6" t="n">
        <v>1.191749366552e-06</v>
      </c>
      <c r="I37" s="6" t="n">
        <v>0</v>
      </c>
      <c r="J37" s="6" t="n">
        <v>1.191749366552e-06</v>
      </c>
      <c r="K37" s="6" t="n">
        <v>0</v>
      </c>
      <c r="L37" s="6" t="n">
        <v>0.005746426914602806</v>
      </c>
      <c r="M37" s="7" t="n">
        <v>1</v>
      </c>
      <c r="N37" s="6" t="n">
        <v>1.315985550823055e-05</v>
      </c>
      <c r="O37" s="6" t="n">
        <v>1.315985550823055e-05</v>
      </c>
      <c r="P37" s="6" t="n">
        <v>-1.196810614167855e-05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0.001705</v>
      </c>
      <c r="F38" s="6" t="n">
        <v>0.001709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0.001705</v>
      </c>
      <c r="M38" s="7" t="n">
        <v>1</v>
      </c>
      <c r="N38" s="6" t="n">
        <v>3.904609590442164e-06</v>
      </c>
      <c r="O38" s="6" t="n">
        <v>3.904609590442164e-06</v>
      </c>
      <c r="P38" s="6" t="n">
        <v>9.539040955783619e-08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2.840047374785256e-06</v>
      </c>
      <c r="O39" s="6" t="n">
        <v>2.840047374785256e-06</v>
      </c>
      <c r="P39" s="6" t="n">
        <v>-2.840047374785256e-06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0.000521673271312833</v>
      </c>
      <c r="F40" s="6" t="n">
        <v>0.000522139801452544</v>
      </c>
      <c r="G40" s="6" t="n">
        <v>4.66530139711e-07</v>
      </c>
      <c r="H40" s="6" t="n">
        <v>4.66530139711e-07</v>
      </c>
      <c r="I40" s="6" t="n">
        <v>0</v>
      </c>
      <c r="J40" s="6" t="n">
        <v>4.66530139711e-07</v>
      </c>
      <c r="K40" s="6" t="n">
        <v>0</v>
      </c>
      <c r="L40" s="6" t="n">
        <v>0.000521673271312833</v>
      </c>
      <c r="M40" s="7" t="n">
        <v>1</v>
      </c>
      <c r="N40" s="6" t="n">
        <v>1.194680620671803e-06</v>
      </c>
      <c r="O40" s="6" t="n">
        <v>1.194680620671803e-06</v>
      </c>
      <c r="P40" s="6" t="n">
        <v>-7.281504809608034e-07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1.715194822046709e-07</v>
      </c>
      <c r="O41" s="6" t="n">
        <v>1.715194822046709e-07</v>
      </c>
      <c r="P41" s="6" t="n">
        <v>-1.715194822046709e-07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1435964.694856968</v>
      </c>
      <c r="I47" s="6" t="n">
        <v>0</v>
      </c>
      <c r="J47" s="6" t="n">
        <v>1435964.694856968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1435964.694856968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146550618.2104181</v>
      </c>
      <c r="G50" s="6" t="n">
        <v>81380618.21041812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67882687.2736806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67882687.2736806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100304256.5863323</v>
      </c>
      <c r="G53" s="6" t="n">
        <v>10404256.58633234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90246808.55287774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90246808.55287774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99990828.81481861</v>
      </c>
      <c r="G54" s="6" t="n">
        <v>10090828.81481861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90236360.96049395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90236360.96049395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303545287.192935</v>
      </c>
      <c r="F60" s="6" t="n">
        <v>317193040.533521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1270360913.25412</v>
      </c>
      <c r="F61" s="6" t="n">
        <v>863439216.480082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773533.783718</v>
      </c>
      <c r="F62" s="6" t="n">
        <v>797030.383413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25647247.422478</v>
      </c>
      <c r="F63" s="6" t="n">
        <v>19103797.28946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2945662385.958665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1945662385.958666</v>
      </c>
    </row>
    <row r="8">
      <c r="A8" t="inlineStr">
        <is>
          <t>Base rate (BR = SSR + 30bps), period avg</t>
        </is>
      </c>
      <c r="B8" s="7" t="n">
        <v>0.03910800426568259</v>
      </c>
    </row>
    <row r="9">
      <c r="A9" t="inlineStr">
        <is>
          <t>Reference rate (tbill_3m), period avg</t>
        </is>
      </c>
      <c r="B9" s="7" t="n">
        <v>0.0381</v>
      </c>
    </row>
    <row r="10">
      <c r="A10" t="inlineStr">
        <is>
          <t>Subsidised rate (BR*), period avg</t>
        </is>
      </c>
      <c r="B10" s="7" t="n">
        <v>0.03831000088868387</v>
      </c>
    </row>
    <row r="11">
      <c r="A11" s="8" t="inlineStr">
        <is>
          <t>Effective blended rate charged</t>
        </is>
      </c>
      <c r="B11" s="10" t="n">
        <v>0.03883709630935921</v>
      </c>
    </row>
    <row r="12">
      <c r="A12" s="8" t="inlineStr">
        <is>
          <t>Diff vs base rate (bps)</t>
        </is>
      </c>
      <c r="B12" s="11" t="n">
        <v>-2.709079563233819</v>
      </c>
    </row>
    <row r="13">
      <c r="A13" s="8" t="inlineStr">
        <is>
          <t>Subsidy benefit to prime (USD)</t>
        </is>
      </c>
      <c r="B13" s="12" t="n">
        <v>63153.86653210641</v>
      </c>
    </row>
    <row r="15">
      <c r="A15" t="inlineStr">
        <is>
          <t>CoF at full base rate (no subsidy)</t>
        </is>
      </c>
      <c r="B15" s="3" t="n">
        <v>9288441.718268225</v>
      </c>
    </row>
    <row r="16">
      <c r="A16" t="inlineStr">
        <is>
          <t xml:space="preserve">  − actual CoF (subsidy on first tranche)</t>
        </is>
      </c>
      <c r="B16" s="3" t="n">
        <v>9225287.851736117</v>
      </c>
    </row>
    <row r="17">
      <c r="A17" s="8" t="inlineStr">
        <is>
          <t xml:space="preserve">  = subsidy benefit</t>
        </is>
      </c>
      <c r="B17" s="12" t="n">
        <v>63153.86653210641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3090106.928915537</v>
      </c>
    </row>
    <row r="21">
      <c r="A21" t="inlineStr">
        <is>
          <t>Excess (&gt; cap)</t>
        </is>
      </c>
      <c r="B21" s="6" t="n">
        <v>1945662385.958666</v>
      </c>
      <c r="C21" s="3" t="n">
        <v>6135180.922820581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9054205.487267924</v>
      </c>
    </row>
    <row r="25">
      <c r="A25" t="inlineStr">
        <is>
          <t>+ Sky-Direct revenue (full venue yield on fixed/capped SDE)</t>
        </is>
      </c>
      <c r="B25" s="3" t="n">
        <v>21041.50083063317</v>
      </c>
    </row>
    <row r="26">
      <c r="A26" t="inlineStr">
        <is>
          <t>equals sky_revenue (total Sky take this month)</t>
        </is>
      </c>
      <c r="B26" s="3" t="n">
        <v>9075246.988098558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11790351.17991679</v>
      </c>
    </row>
    <row r="31">
      <c r="A31" t="inlineStr">
        <is>
          <t xml:space="preserve">    ↳ actual CoF on Net_Subs (BR × utilized)</t>
        </is>
      </c>
      <c r="B31" s="3" t="n">
        <v>9054205.487267924</v>
      </c>
    </row>
    <row r="32">
      <c r="A32" t="inlineStr">
        <is>
          <t xml:space="preserve">    ↳ reduction from idle/SDE deductions</t>
        </is>
      </c>
      <c r="B32" s="3" t="n">
        <v>-2736145.692648868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171082.3644681933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1030.276249266686</v>
      </c>
      <c r="J6" s="6" t="n">
        <v>1030.276249266686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119.7501854271759</v>
      </c>
      <c r="J7" s="6" t="n">
        <v>119.7501854271759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91091279.19206849</v>
      </c>
      <c r="F6" s="6" t="n">
        <v>74211501.64222991</v>
      </c>
      <c r="G6" s="6" t="n">
        <v>275726915.1248708</v>
      </c>
      <c r="H6" s="6" t="n">
        <v>3186690089.319521</v>
      </c>
      <c r="I6" s="7" t="n">
        <v>0.03600000425292382</v>
      </c>
      <c r="J6" s="7" t="n">
        <v>0.03910800426568259</v>
      </c>
      <c r="K6" t="n">
        <v>5</v>
      </c>
      <c r="L6" s="7" t="n">
        <v>0.0378</v>
      </c>
      <c r="M6" s="7" t="n">
        <v>0.03807250088868387</v>
      </c>
      <c r="N6" s="3" t="n">
        <v>332216.9641822214</v>
      </c>
      <c r="O6" s="3" t="n">
        <v>425433.9582668049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91692006.16659966</v>
      </c>
      <c r="F7" s="6" t="n">
        <v>71612483.73833267</v>
      </c>
      <c r="G7" s="6" t="n">
        <v>295365472.0216876</v>
      </c>
      <c r="H7" s="6" t="n">
        <v>3220059166.948024</v>
      </c>
      <c r="I7" s="7" t="n">
        <v>0.03600000425292382</v>
      </c>
      <c r="J7" s="7" t="n">
        <v>0.03910800426568259</v>
      </c>
      <c r="K7" t="n">
        <v>5</v>
      </c>
      <c r="L7" s="7" t="n">
        <v>0.0377</v>
      </c>
      <c r="M7" s="7" t="n">
        <v>0.03799333422201721</v>
      </c>
      <c r="N7" s="3" t="n">
        <v>335515.3748822335</v>
      </c>
      <c r="O7" s="3" t="n">
        <v>430588.0680321992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92077236.20493722</v>
      </c>
      <c r="F8" s="6" t="n">
        <v>69854985.93062063</v>
      </c>
      <c r="G8" s="6" t="n">
        <v>293845524.0721337</v>
      </c>
      <c r="H8" s="6" t="n">
        <v>3213790849.402838</v>
      </c>
      <c r="I8" s="7" t="n">
        <v>0.03600000425292382</v>
      </c>
      <c r="J8" s="7" t="n">
        <v>0.03910800426568259</v>
      </c>
      <c r="K8" t="n">
        <v>5</v>
      </c>
      <c r="L8" s="7" t="n">
        <v>0.0378</v>
      </c>
      <c r="M8" s="7" t="n">
        <v>0.03807250088868387</v>
      </c>
      <c r="N8" s="3" t="n">
        <v>335065.4896588066</v>
      </c>
      <c r="O8" s="3" t="n">
        <v>429834.173678943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88843858.89968219</v>
      </c>
      <c r="F9" s="6" t="n">
        <v>73417540.77615157</v>
      </c>
      <c r="G9" s="6" t="n">
        <v>259701827.6324171</v>
      </c>
      <c r="H9" s="6" t="n">
        <v>3159825719.265458</v>
      </c>
      <c r="I9" s="7" t="n">
        <v>0.03600000425292382</v>
      </c>
      <c r="J9" s="7" t="n">
        <v>0.03910800426568259</v>
      </c>
      <c r="K9" t="n">
        <v>5</v>
      </c>
      <c r="L9" s="7" t="n">
        <v>0.0378</v>
      </c>
      <c r="M9" s="7" t="n">
        <v>0.03807250088868387</v>
      </c>
      <c r="N9" s="3" t="n">
        <v>329393.2853526921</v>
      </c>
      <c r="O9" s="3" t="n">
        <v>420609.2671465119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69533991.50583017</v>
      </c>
      <c r="F10" s="6" t="n">
        <v>41641283.76800805</v>
      </c>
      <c r="G10" s="6" t="n">
        <v>207279980.22869</v>
      </c>
      <c r="H10" s="6" t="n">
        <v>3096635677.377887</v>
      </c>
      <c r="I10" s="7" t="n">
        <v>0.03600000425292382</v>
      </c>
      <c r="J10" s="7" t="n">
        <v>0.03910800426568259</v>
      </c>
      <c r="K10" t="n">
        <v>5</v>
      </c>
      <c r="L10" s="7" t="n">
        <v>0.0378</v>
      </c>
      <c r="M10" s="7" t="n">
        <v>0.03807250088868387</v>
      </c>
      <c r="N10" s="3" t="n">
        <v>322751.4626277998</v>
      </c>
      <c r="O10" s="3" t="n">
        <v>403087.5532993731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79253012.95639059</v>
      </c>
      <c r="F11" s="6" t="n">
        <v>51845841.4035126</v>
      </c>
      <c r="G11" s="6" t="n">
        <v>219866569.9365954</v>
      </c>
      <c r="H11" s="6" t="n">
        <v>3102703456.121398</v>
      </c>
      <c r="I11" s="7" t="n">
        <v>0.03600000425292382</v>
      </c>
      <c r="J11" s="7" t="n">
        <v>0.03910800426568259</v>
      </c>
      <c r="K11" t="n">
        <v>5</v>
      </c>
      <c r="L11" s="7" t="n">
        <v>0.0378</v>
      </c>
      <c r="M11" s="7" t="n">
        <v>0.03807250088868387</v>
      </c>
      <c r="N11" s="3" t="n">
        <v>323389.2389220453</v>
      </c>
      <c r="O11" s="3" t="n">
        <v>407154.8427349417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78076380.92033099</v>
      </c>
      <c r="F12" s="6" t="n">
        <v>59740402.97761387</v>
      </c>
      <c r="G12" s="6" t="n">
        <v>233820162.1960171</v>
      </c>
      <c r="H12" s="6" t="n">
        <v>3126037416.711033</v>
      </c>
      <c r="I12" s="7" t="n">
        <v>0.03600000425292382</v>
      </c>
      <c r="J12" s="7" t="n">
        <v>0.03910800426568259</v>
      </c>
      <c r="K12" t="n">
        <v>5</v>
      </c>
      <c r="L12" s="7" t="n">
        <v>0.0378</v>
      </c>
      <c r="M12" s="7" t="n">
        <v>0.03807250088868387</v>
      </c>
      <c r="N12" s="3" t="n">
        <v>325841.8410263725</v>
      </c>
      <c r="O12" s="3" t="n">
        <v>411782.3518007405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76977750.60328962</v>
      </c>
      <c r="F13" s="6" t="n">
        <v>79010270.68734147</v>
      </c>
      <c r="G13" s="6" t="n">
        <v>247432620.1013258</v>
      </c>
      <c r="H13" s="6" t="n">
        <v>3066607217.091959</v>
      </c>
      <c r="I13" s="7" t="n">
        <v>0.03600000425292382</v>
      </c>
      <c r="J13" s="7" t="n">
        <v>0.03910800426568259</v>
      </c>
      <c r="K13" t="n">
        <v>5</v>
      </c>
      <c r="L13" s="7" t="n">
        <v>0.038</v>
      </c>
      <c r="M13" s="7" t="n">
        <v>0.03823083422201721</v>
      </c>
      <c r="N13" s="3" t="n">
        <v>320013.1016180831</v>
      </c>
      <c r="O13" s="3" t="n">
        <v>409304.0719372209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83986995.1391526</v>
      </c>
      <c r="F14" s="6" t="n">
        <v>74224761.78704096</v>
      </c>
      <c r="G14" s="6" t="n">
        <v>238697706.7029445</v>
      </c>
      <c r="H14" s="6" t="n">
        <v>3047864394.041879</v>
      </c>
      <c r="I14" s="7" t="n">
        <v>0.03600000425292382</v>
      </c>
      <c r="J14" s="7" t="n">
        <v>0.03910800426568259</v>
      </c>
      <c r="K14" t="n">
        <v>5</v>
      </c>
      <c r="L14" s="7" t="n">
        <v>0.0379</v>
      </c>
      <c r="M14" s="7" t="n">
        <v>0.03815166755535054</v>
      </c>
      <c r="N14" s="3" t="n">
        <v>317834.1303211373</v>
      </c>
      <c r="O14" s="3" t="n">
        <v>406446.3261341003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88285885.87971774</v>
      </c>
      <c r="F15" s="6" t="n">
        <v>74834453.5301868</v>
      </c>
      <c r="G15" s="6" t="n">
        <v>238206862.499659</v>
      </c>
      <c r="H15" s="6" t="n">
        <v>3037675012.702082</v>
      </c>
      <c r="I15" s="7" t="n">
        <v>0.03600000425292382</v>
      </c>
      <c r="J15" s="7" t="n">
        <v>0.03910800426568259</v>
      </c>
      <c r="K15" t="n">
        <v>5</v>
      </c>
      <c r="L15" s="7" t="n">
        <v>0.0379</v>
      </c>
      <c r="M15" s="7" t="n">
        <v>0.03815166755535054</v>
      </c>
      <c r="N15" s="3" t="n">
        <v>316763.1377641822</v>
      </c>
      <c r="O15" s="3" t="n">
        <v>405841.8653905716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88325228.61914782</v>
      </c>
      <c r="F16" s="6" t="n">
        <v>70954423.32702413</v>
      </c>
      <c r="G16" s="6" t="n">
        <v>237780248.9173348</v>
      </c>
      <c r="H16" s="6" t="n">
        <v>3031525001.005271</v>
      </c>
      <c r="I16" s="7" t="n">
        <v>0.03600000425292382</v>
      </c>
      <c r="J16" s="7" t="n">
        <v>0.03910800426568259</v>
      </c>
      <c r="K16" t="n">
        <v>5</v>
      </c>
      <c r="L16" s="7" t="n">
        <v>0.0378</v>
      </c>
      <c r="M16" s="7" t="n">
        <v>0.03807250088868387</v>
      </c>
      <c r="N16" s="3" t="n">
        <v>315907.7645221049</v>
      </c>
      <c r="O16" s="3" t="n">
        <v>404523.9031277228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81940718.48437874</v>
      </c>
      <c r="F17" s="6" t="n">
        <v>72514340.04445513</v>
      </c>
      <c r="G17" s="6" t="n">
        <v>229796725.1160904</v>
      </c>
      <c r="H17" s="6" t="n">
        <v>3066259974.910218</v>
      </c>
      <c r="I17" s="7" t="n">
        <v>0.03600000425292382</v>
      </c>
      <c r="J17" s="7" t="n">
        <v>0.03910800426568259</v>
      </c>
      <c r="K17" t="n">
        <v>5</v>
      </c>
      <c r="L17" s="7" t="n">
        <v>0.0378</v>
      </c>
      <c r="M17" s="7" t="n">
        <v>0.03807250088868387</v>
      </c>
      <c r="N17" s="3" t="n">
        <v>319558.7122369504</v>
      </c>
      <c r="O17" s="3" t="n">
        <v>406842.0022293216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81225115.20416264</v>
      </c>
      <c r="F18" s="6" t="n">
        <v>72546118.83705868</v>
      </c>
      <c r="G18" s="6" t="n">
        <v>226868838.8186921</v>
      </c>
      <c r="H18" s="6" t="n">
        <v>3009354822.632935</v>
      </c>
      <c r="I18" s="7" t="n">
        <v>0.03600000425292382</v>
      </c>
      <c r="J18" s="7" t="n">
        <v>0.03910800426568259</v>
      </c>
      <c r="K18" t="n">
        <v>5</v>
      </c>
      <c r="L18" s="7" t="n">
        <v>0.0378</v>
      </c>
      <c r="M18" s="7" t="n">
        <v>0.03807250088868387</v>
      </c>
      <c r="N18" s="3" t="n">
        <v>313577.4860457859</v>
      </c>
      <c r="O18" s="3" t="n">
        <v>400489.3307295096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82726766.73606382</v>
      </c>
      <c r="F19" s="6" t="n">
        <v>67630610.3862804</v>
      </c>
      <c r="G19" s="6" t="n">
        <v>226543246.5083539</v>
      </c>
      <c r="H19" s="6" t="n">
        <v>3019080321.635968</v>
      </c>
      <c r="I19" s="7" t="n">
        <v>0.03600000425292382</v>
      </c>
      <c r="J19" s="7" t="n">
        <v>0.03910800426568259</v>
      </c>
      <c r="K19" t="n">
        <v>5</v>
      </c>
      <c r="L19" s="7" t="n">
        <v>0.0378</v>
      </c>
      <c r="M19" s="7" t="n">
        <v>0.03807250088868387</v>
      </c>
      <c r="N19" s="3" t="n">
        <v>314599.7205365335</v>
      </c>
      <c r="O19" s="3" t="n">
        <v>401100.4654462736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82885274.45428193</v>
      </c>
      <c r="F20" s="6" t="n">
        <v>73458271.24311817</v>
      </c>
      <c r="G20" s="6" t="n">
        <v>231469156.3066669</v>
      </c>
      <c r="H20" s="6" t="n">
        <v>3029710990.255258</v>
      </c>
      <c r="I20" s="7" t="n">
        <v>0.03600000425292382</v>
      </c>
      <c r="J20" s="7" t="n">
        <v>0.03910800426568259</v>
      </c>
      <c r="K20" t="n">
        <v>5</v>
      </c>
      <c r="L20" s="7" t="n">
        <v>0.0379</v>
      </c>
      <c r="M20" s="7" t="n">
        <v>0.03815166755535054</v>
      </c>
      <c r="N20" s="3" t="n">
        <v>315926.0497723278</v>
      </c>
      <c r="O20" s="3" t="n">
        <v>403573.5341132453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88174581.71420911</v>
      </c>
      <c r="F21" s="6" t="n">
        <v>71580174.81251332</v>
      </c>
      <c r="G21" s="6" t="n">
        <v>228136263.6824556</v>
      </c>
      <c r="H21" s="6" t="n">
        <v>2757256123.257725</v>
      </c>
      <c r="I21" s="7" t="n">
        <v>0.03600000425292382</v>
      </c>
      <c r="J21" s="7" t="n">
        <v>0.03910800426568259</v>
      </c>
      <c r="K21" t="n">
        <v>5</v>
      </c>
      <c r="L21" s="7" t="n">
        <v>0.0379</v>
      </c>
      <c r="M21" s="7" t="n">
        <v>0.03815166755535054</v>
      </c>
      <c r="N21" s="3" t="n">
        <v>287288.6747512537</v>
      </c>
      <c r="O21" s="3" t="n">
        <v>374955.1392312443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87494168.87930548</v>
      </c>
      <c r="F22" s="6" t="n">
        <v>83022107.32668166</v>
      </c>
      <c r="G22" s="6" t="n">
        <v>229984484.7397425</v>
      </c>
      <c r="H22" s="6" t="n">
        <v>2752828184.242775</v>
      </c>
      <c r="I22" s="7" t="n">
        <v>0.03600000425292382</v>
      </c>
      <c r="J22" s="7" t="n">
        <v>0.03910800426568259</v>
      </c>
      <c r="K22" t="n">
        <v>5</v>
      </c>
      <c r="L22" s="7" t="n">
        <v>0.0383</v>
      </c>
      <c r="M22" s="7" t="n">
        <v>0.0384683342220172</v>
      </c>
      <c r="N22" s="3" t="n">
        <v>287658.915191066</v>
      </c>
      <c r="O22" s="3" t="n">
        <v>376650.5013859501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90192905.40866883</v>
      </c>
      <c r="F23" s="6" t="n">
        <v>72783894.76899749</v>
      </c>
      <c r="G23" s="6" t="n">
        <v>229875387.3075938</v>
      </c>
      <c r="H23" s="6" t="n">
        <v>2728187822.713977</v>
      </c>
      <c r="I23" s="7" t="n">
        <v>0.03600000425292382</v>
      </c>
      <c r="J23" s="7" t="n">
        <v>0.03910800426568259</v>
      </c>
      <c r="K23" t="n">
        <v>5</v>
      </c>
      <c r="L23" s="7" t="n">
        <v>0.0383</v>
      </c>
      <c r="M23" s="7" t="n">
        <v>0.0384683342220172</v>
      </c>
      <c r="N23" s="3" t="n">
        <v>285068.9989912522</v>
      </c>
      <c r="O23" s="3" t="n">
        <v>373258.4002760279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87813254.07817502</v>
      </c>
      <c r="F24" s="6" t="n">
        <v>74536322.96352261</v>
      </c>
      <c r="G24" s="6" t="n">
        <v>228544025.637105</v>
      </c>
      <c r="H24" s="6" t="n">
        <v>2726883073.318372</v>
      </c>
      <c r="I24" s="7" t="n">
        <v>0.03600000425292382</v>
      </c>
      <c r="J24" s="7" t="n">
        <v>0.03910800426568259</v>
      </c>
      <c r="K24" t="n">
        <v>5</v>
      </c>
      <c r="L24" s="7" t="n">
        <v>0.0383</v>
      </c>
      <c r="M24" s="7" t="n">
        <v>0.0384683342220172</v>
      </c>
      <c r="N24" s="3" t="n">
        <v>284931.8584873506</v>
      </c>
      <c r="O24" s="3" t="n">
        <v>372918.634642558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91452382.3922316</v>
      </c>
      <c r="F25" s="6" t="n">
        <v>66846210.05367263</v>
      </c>
      <c r="G25" s="6" t="n">
        <v>234890289.0773326</v>
      </c>
      <c r="H25" s="6" t="n">
        <v>2845720509.314834</v>
      </c>
      <c r="I25" s="7" t="n">
        <v>0.03600000425292382</v>
      </c>
      <c r="J25" s="7" t="n">
        <v>0.03910800426568259</v>
      </c>
      <c r="K25" t="n">
        <v>5</v>
      </c>
      <c r="L25" s="7" t="n">
        <v>0.0383</v>
      </c>
      <c r="M25" s="7" t="n">
        <v>0.0384683342220172</v>
      </c>
      <c r="N25" s="3" t="n">
        <v>297422.7060859893</v>
      </c>
      <c r="O25" s="3" t="n">
        <v>374939.1809647587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91677504.76178636</v>
      </c>
      <c r="F26" s="6" t="n">
        <v>66039713.46030262</v>
      </c>
      <c r="G26" s="6" t="n">
        <v>234995824.5727294</v>
      </c>
      <c r="H26" s="6" t="n">
        <v>2842953739.366308</v>
      </c>
      <c r="I26" s="7" t="n">
        <v>0.03600000425292382</v>
      </c>
      <c r="J26" s="7" t="n">
        <v>0.03910800426568259</v>
      </c>
      <c r="K26" t="n">
        <v>5</v>
      </c>
      <c r="L26" s="7" t="n">
        <v>0.0383</v>
      </c>
      <c r="M26" s="7" t="n">
        <v>0.0384683342220172</v>
      </c>
      <c r="N26" s="3" t="n">
        <v>297131.8945123657</v>
      </c>
      <c r="O26" s="3" t="n">
        <v>374598.8315564164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57324084.49222599</v>
      </c>
      <c r="F27" s="6" t="n">
        <v>75557150.62153183</v>
      </c>
      <c r="G27" s="6" t="n">
        <v>244663090.2074062</v>
      </c>
      <c r="H27" s="6" t="n">
        <v>2842500981.197045</v>
      </c>
      <c r="I27" s="7" t="n">
        <v>0.03600000425292382</v>
      </c>
      <c r="J27" s="7" t="n">
        <v>0.03910800426568259</v>
      </c>
      <c r="K27" t="n">
        <v>5</v>
      </c>
      <c r="L27" s="7" t="n">
        <v>0.0385</v>
      </c>
      <c r="M27" s="7" t="n">
        <v>0.03862666755535054</v>
      </c>
      <c r="N27" s="3" t="n">
        <v>297502.0380628955</v>
      </c>
      <c r="O27" s="3" t="n">
        <v>373374.436278404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58944069.04076159</v>
      </c>
      <c r="F28" s="6" t="n">
        <v>71777177.29413517</v>
      </c>
      <c r="G28" s="6" t="n">
        <v>240687318.9891957</v>
      </c>
      <c r="H28" s="6" t="n">
        <v>2839043036.706906</v>
      </c>
      <c r="I28" s="7" t="n">
        <v>0.03600000425292382</v>
      </c>
      <c r="J28" s="7" t="n">
        <v>0.03910800426568259</v>
      </c>
      <c r="K28" t="n">
        <v>5</v>
      </c>
      <c r="L28" s="7" t="n">
        <v>0.0385</v>
      </c>
      <c r="M28" s="7" t="n">
        <v>0.03862666755535054</v>
      </c>
      <c r="N28" s="3" t="n">
        <v>297138.5780364425</v>
      </c>
      <c r="O28" s="3" t="n">
        <v>372367.0470202919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86175124.32988481</v>
      </c>
      <c r="F29" s="6" t="n">
        <v>51849352.42621429</v>
      </c>
      <c r="G29" s="6" t="n">
        <v>238646466.469051</v>
      </c>
      <c r="H29" s="6" t="n">
        <v>2807497509.228498</v>
      </c>
      <c r="I29" s="7" t="n">
        <v>0.03600000425292382</v>
      </c>
      <c r="J29" s="7" t="n">
        <v>0.03910800426568259</v>
      </c>
      <c r="K29" t="n">
        <v>5</v>
      </c>
      <c r="L29" s="7" t="n">
        <v>0.0385</v>
      </c>
      <c r="M29" s="7" t="n">
        <v>0.03862666755535054</v>
      </c>
      <c r="N29" s="3" t="n">
        <v>293822.8688674631</v>
      </c>
      <c r="O29" s="3" t="n">
        <v>369630.016398093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120161291.8566851</v>
      </c>
      <c r="F30" s="6" t="n">
        <v>41985005.35481693</v>
      </c>
      <c r="G30" s="6" t="n">
        <v>269199092.0350934</v>
      </c>
      <c r="H30" s="6" t="n">
        <v>2821583641.11734</v>
      </c>
      <c r="I30" s="7" t="n">
        <v>0.03600000425292382</v>
      </c>
      <c r="J30" s="7" t="n">
        <v>0.03910800426568259</v>
      </c>
      <c r="K30" t="n">
        <v>5</v>
      </c>
      <c r="L30" s="7" t="n">
        <v>0.0384</v>
      </c>
      <c r="M30" s="7" t="n">
        <v>0.03854750088868387</v>
      </c>
      <c r="N30" s="3" t="n">
        <v>295094.5855362514</v>
      </c>
      <c r="O30" s="3" t="n">
        <v>376647.9380003725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121838790.461726</v>
      </c>
      <c r="F31" s="6" t="n">
        <v>40314178.52852874</v>
      </c>
      <c r="G31" s="6" t="n">
        <v>277744609.8729502</v>
      </c>
      <c r="H31" s="6" t="n">
        <v>2833872026.787195</v>
      </c>
      <c r="I31" s="7" t="n">
        <v>0.03600000425292382</v>
      </c>
      <c r="J31" s="7" t="n">
        <v>0.03910800426568259</v>
      </c>
      <c r="K31" t="n">
        <v>5</v>
      </c>
      <c r="L31" s="7" t="n">
        <v>0.0383</v>
      </c>
      <c r="M31" s="7" t="n">
        <v>0.0384683342220172</v>
      </c>
      <c r="N31" s="3" t="n">
        <v>296177.3275713244</v>
      </c>
      <c r="O31" s="3" t="n">
        <v>378631.8678127691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122284572.4321135</v>
      </c>
      <c r="F32" s="6" t="n">
        <v>39869042.06050103</v>
      </c>
      <c r="G32" s="6" t="n">
        <v>275445094.1148835</v>
      </c>
      <c r="H32" s="6" t="n">
        <v>2820355832.881217</v>
      </c>
      <c r="I32" s="7" t="n">
        <v>0.03600000425292382</v>
      </c>
      <c r="J32" s="7" t="n">
        <v>0.03910800426568259</v>
      </c>
      <c r="K32" t="n">
        <v>5</v>
      </c>
      <c r="L32" s="7" t="n">
        <v>0.0383</v>
      </c>
      <c r="M32" s="7" t="n">
        <v>0.0384683342220172</v>
      </c>
      <c r="N32" s="3" t="n">
        <v>294756.6580930781</v>
      </c>
      <c r="O32" s="3" t="n">
        <v>376969.4893143523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121486092.0083568</v>
      </c>
      <c r="F33" s="6" t="n">
        <v>40672778.77551679</v>
      </c>
      <c r="G33" s="6" t="n">
        <v>275142578.7506528</v>
      </c>
      <c r="H33" s="6" t="n">
        <v>2820359253.439651</v>
      </c>
      <c r="I33" s="7" t="n">
        <v>0.03600000425292382</v>
      </c>
      <c r="J33" s="7" t="n">
        <v>0.03910800426568259</v>
      </c>
      <c r="K33" t="n">
        <v>5</v>
      </c>
      <c r="L33" s="7" t="n">
        <v>0.0383</v>
      </c>
      <c r="M33" s="7" t="n">
        <v>0.0384683342220172</v>
      </c>
      <c r="N33" s="3" t="n">
        <v>294757.0176235051</v>
      </c>
      <c r="O33" s="3" t="n">
        <v>376940.4234585383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118967404.4272955</v>
      </c>
      <c r="F34" s="6" t="n">
        <v>43189255.42830983</v>
      </c>
      <c r="G34" s="6" t="n">
        <v>268307675.2718963</v>
      </c>
      <c r="H34" s="6" t="n">
        <v>2806042592.174914</v>
      </c>
      <c r="I34" s="7" t="n">
        <v>0.03600000425292382</v>
      </c>
      <c r="J34" s="7" t="n">
        <v>0.03910800426568259</v>
      </c>
      <c r="K34" t="n">
        <v>5</v>
      </c>
      <c r="L34" s="7" t="n">
        <v>0.0387</v>
      </c>
      <c r="M34" s="7" t="n">
        <v>0.03878500088868388</v>
      </c>
      <c r="N34" s="3" t="n">
        <v>294087.6133054312</v>
      </c>
      <c r="O34" s="3" t="n">
        <v>375552.3690651191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115633571.5610364</v>
      </c>
      <c r="F35" s="6" t="n">
        <v>46519200.01361789</v>
      </c>
      <c r="G35" s="6" t="n">
        <v>268672569.1184176</v>
      </c>
      <c r="H35" s="6" t="n">
        <v>2710967143.59148</v>
      </c>
      <c r="I35" s="7" t="n">
        <v>0.03600000425292382</v>
      </c>
      <c r="J35" s="7" t="n">
        <v>0.03910800426568259</v>
      </c>
      <c r="K35" t="n">
        <v>5</v>
      </c>
      <c r="L35" s="7" t="n">
        <v>0.0387</v>
      </c>
      <c r="M35" s="7" t="n">
        <v>0.03878500088868388</v>
      </c>
      <c r="N35" s="3" t="n">
        <v>284094.3571511732</v>
      </c>
      <c r="O35" s="3" t="n">
        <v>376305.1904444174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9225287.851736117</v>
      </c>
      <c r="O37" s="12" t="n">
        <v>11790351.17991679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2026-07-31T12:31:09Z</dcterms:created>
  <dcterms:modified xsi:type="dcterms:W3CDTF">2026-07-31T12:31:09Z</dcterms:modified>
</cp:coreProperties>
</file>