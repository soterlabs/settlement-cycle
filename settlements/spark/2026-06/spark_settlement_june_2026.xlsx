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11273284.34691079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/>
      <c r="B6" s="4" t="n">
        <v>11388147.15687342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9066267.680703618</v>
      </c>
    </row>
    <row r="10">
      <c r="A10" t="inlineStr">
        <is>
          <t>+ SDE revenue (Sky-Direct, full to Sky)</t>
        </is>
      </c>
      <c r="B10" s="3" t="n">
        <v>19891.47439593931</v>
      </c>
    </row>
    <row r="11">
      <c r="A11" t="inlineStr"/>
      <c r="B11" s="4" t="n">
        <v>9086159.155099558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9066267.680703618</v>
      </c>
    </row>
    <row r="15">
      <c r="A15" t="inlineStr">
        <is>
          <t>reduction from idle/SDE deductions</t>
        </is>
      </c>
      <c r="B15" s="3" t="n">
        <v>-2608266.10095845</v>
      </c>
    </row>
    <row r="16">
      <c r="A16" t="inlineStr"/>
      <c r="B16" s="4" t="n">
        <v>11674533.78166207</v>
      </c>
    </row>
    <row r="18">
      <c r="A18" s="5" t="inlineStr">
        <is>
          <t>sUSDS spread (Curve LP + PSM3) — deducted from sky_revenue</t>
        </is>
      </c>
      <c r="B18" s="3" t="n">
        <v>171082.354798371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11273284.34691079</v>
      </c>
    </row>
    <row r="22">
      <c r="A22" t="inlineStr">
        <is>
          <t>− CoF (deducted per-venue in display)</t>
        </is>
      </c>
      <c r="B22" s="3" t="n">
        <v>-9066267.680703618</v>
      </c>
    </row>
    <row r="23">
      <c r="A23" t="inlineStr"/>
      <c r="B23" s="4" t="n">
        <v>1225529.026659024</v>
      </c>
    </row>
    <row r="25">
      <c r="A25" t="inlineStr">
        <is>
          <t>Period</t>
        </is>
      </c>
      <c r="B25" t="inlineStr">
        <is>
          <t>2026-06-01 → 2026-06-30 (30 days)</t>
        </is>
      </c>
    </row>
    <row r="26">
      <c r="A26" t="inlineStr">
        <is>
          <t>Pin blocks</t>
        </is>
      </c>
      <c r="B26" t="inlineStr">
        <is>
          <t>arbitrum=479089705, avalanche_c=89166730, base=48037326, ethereum=25433938, optimism=153632611, unichain=52115640</t>
        </is>
      </c>
    </row>
    <row r="27">
      <c r="A27" t="inlineStr">
        <is>
          <t>Generated</t>
        </is>
      </c>
      <c r="B27" t="inlineStr">
        <is>
          <t>2026-07-03T07:26:49+00:00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3234207.157498324</v>
      </c>
      <c r="O2" s="6" t="n">
        <v>3234207.157498324</v>
      </c>
      <c r="P2" s="6" t="n">
        <v>-207533.5862352524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495837665.420656</v>
      </c>
      <c r="F3" s="6" t="n">
        <v>527947034.437084</v>
      </c>
      <c r="G3" s="6" t="n">
        <v>32109369.016428</v>
      </c>
      <c r="H3" s="6" t="n">
        <v>1098488.169145</v>
      </c>
      <c r="I3" s="6" t="n">
        <v>0</v>
      </c>
      <c r="J3" s="6" t="n">
        <v>1098488.169145</v>
      </c>
      <c r="K3" s="6" t="n">
        <v>0</v>
      </c>
      <c r="L3" s="6" t="n">
        <v>496871361.4488988</v>
      </c>
      <c r="M3" s="7" t="n">
        <v>1</v>
      </c>
      <c r="N3" s="6" t="n">
        <v>1204563.374363613</v>
      </c>
      <c r="O3" s="6" t="n">
        <v>1204563.374363613</v>
      </c>
      <c r="P3" s="6" t="n">
        <v>-106075.2052186128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550178045.362034</v>
      </c>
      <c r="F4" s="6" t="n">
        <v>488789298.208332</v>
      </c>
      <c r="G4" s="6" t="n">
        <v>-61388747.15370198</v>
      </c>
      <c r="H4" s="6" t="n">
        <v>996446.4198392286</v>
      </c>
      <c r="I4" s="6" t="n">
        <v>0</v>
      </c>
      <c r="J4" s="6" t="n">
        <v>996446.4198392286</v>
      </c>
      <c r="K4" s="6" t="n">
        <v>0</v>
      </c>
      <c r="L4" s="6" t="n">
        <v>391180692.315285</v>
      </c>
      <c r="M4" s="7" t="n">
        <v>1</v>
      </c>
      <c r="N4" s="6" t="n">
        <v>948337.8823588227</v>
      </c>
      <c r="O4" s="6" t="n">
        <v>948337.8823588227</v>
      </c>
      <c r="P4" s="6" t="n">
        <v>48108.5374804059</v>
      </c>
      <c r="Q4" s="6" t="n">
        <v>156917846.5942976</v>
      </c>
      <c r="R4" s="6" t="n">
        <v>0</v>
      </c>
      <c r="S4" t="inlineStr">
        <is>
          <t>(avg excl. lending_idle)</t>
        </is>
      </c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608678684.51526</v>
      </c>
      <c r="F5" s="6" t="n">
        <v>206394227.300838</v>
      </c>
      <c r="G5" s="6" t="n">
        <v>-402284457.214422</v>
      </c>
      <c r="H5" s="6" t="n">
        <v>-5.37062273e-08</v>
      </c>
      <c r="I5" s="6" t="n">
        <v>0</v>
      </c>
      <c r="J5" s="6" t="n">
        <v>-5.37062273e-08</v>
      </c>
      <c r="K5" s="6" t="n">
        <v>0</v>
      </c>
      <c r="L5" s="6" t="n">
        <v>382655180.7826357</v>
      </c>
      <c r="M5" s="7" t="n">
        <v>1</v>
      </c>
      <c r="N5" s="6" t="n">
        <v>927669.5167883105</v>
      </c>
      <c r="O5" s="6" t="n">
        <v>927669.5167883105</v>
      </c>
      <c r="P5" s="6" t="n">
        <v>-927669.5167883642</v>
      </c>
      <c r="Q5" s="6" t="n">
        <v>0</v>
      </c>
      <c r="R5" s="6" t="n">
        <v>0</v>
      </c>
      <c r="S5" t="inlineStr"/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620914.7925401869</v>
      </c>
      <c r="O6" s="6" t="n">
        <v>620914.7925401869</v>
      </c>
      <c r="P6" s="6" t="n">
        <v>943730.2074598171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429285.5812760779</v>
      </c>
      <c r="O7" s="6" t="n">
        <v>429285.5812760779</v>
      </c>
      <c r="P7" s="6" t="n">
        <v>84517.72270958572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144181483.7745804</v>
      </c>
      <c r="G8" s="6" t="n">
        <v>416872.1944949473</v>
      </c>
      <c r="H8" s="6" t="n">
        <v>416872.1944949473</v>
      </c>
      <c r="I8" s="6" t="n">
        <v>0</v>
      </c>
      <c r="J8" s="6" t="n">
        <v>416872.1944949473</v>
      </c>
      <c r="K8" s="6" t="n">
        <v>0</v>
      </c>
      <c r="L8" s="6" t="n">
        <v>143764611.5800855</v>
      </c>
      <c r="M8" s="7" t="n">
        <v>1</v>
      </c>
      <c r="N8" s="6" t="n">
        <v>348528.0075993916</v>
      </c>
      <c r="O8" s="6" t="n">
        <v>313132.1211247913</v>
      </c>
      <c r="P8" s="6" t="n">
        <v>68344.1868955557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201093205.1965842</v>
      </c>
      <c r="G9" s="6" t="n">
        <v>98741776.73582943</v>
      </c>
      <c r="H9" s="6" t="n">
        <v>391011.3769401348</v>
      </c>
      <c r="I9" s="6" t="n">
        <v>0</v>
      </c>
      <c r="J9" s="6" t="n">
        <v>391011.3769401348</v>
      </c>
      <c r="K9" s="6" t="n">
        <v>0</v>
      </c>
      <c r="L9" s="6" t="n">
        <v>138414109.5363883</v>
      </c>
      <c r="M9" s="7" t="n">
        <v>1</v>
      </c>
      <c r="N9" s="6" t="n">
        <v>335556.805601552</v>
      </c>
      <c r="O9" s="6" t="n">
        <v>301478.2514025327</v>
      </c>
      <c r="P9" s="6" t="n">
        <v>55454.57133858281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211443541.1594051</v>
      </c>
      <c r="G10" s="6" t="n">
        <v>135440112.8640881</v>
      </c>
      <c r="H10" s="6" t="n">
        <v>349807.7689973119</v>
      </c>
      <c r="I10" s="6" t="n">
        <v>0</v>
      </c>
      <c r="J10" s="6" t="n">
        <v>349807.7689973119</v>
      </c>
      <c r="K10" s="6" t="n">
        <v>0</v>
      </c>
      <c r="L10" s="6" t="n">
        <v>125537273.940891</v>
      </c>
      <c r="M10" s="7" t="n">
        <v>1</v>
      </c>
      <c r="N10" s="6" t="n">
        <v>304339.5414573538</v>
      </c>
      <c r="O10" s="6" t="n">
        <v>273431.3572532926</v>
      </c>
      <c r="P10" s="6" t="n">
        <v>45468.2275399581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254778.1558453507</v>
      </c>
      <c r="O11" s="6" t="n">
        <v>254778.1558453507</v>
      </c>
      <c r="P11" s="6" t="n">
        <v>160316.0273419627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242429.0009158371</v>
      </c>
      <c r="O12" s="6" t="n">
        <v>242429.0009158371</v>
      </c>
      <c r="P12" s="6" t="n">
        <v>-215661.6619688371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234344.4705104268</v>
      </c>
      <c r="O13" s="6" t="n">
        <v>234344.4705104268</v>
      </c>
      <c r="P13" s="6" t="n">
        <v>-204218.3259900946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47730.16149526071</v>
      </c>
      <c r="O15" s="6" t="n">
        <v>47730.16149526071</v>
      </c>
      <c r="P15" s="6" t="n">
        <v>47917.15819495428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37354.346375</v>
      </c>
      <c r="I16" s="6" t="n">
        <v>0</v>
      </c>
      <c r="J16" s="6" t="n">
        <v>37354.346375</v>
      </c>
      <c r="K16" s="6" t="n">
        <v>0</v>
      </c>
      <c r="L16" s="6" t="n">
        <v>12000817.37390117</v>
      </c>
      <c r="M16" s="7" t="n">
        <v>1</v>
      </c>
      <c r="N16" s="6" t="n">
        <v>29093.53646157885</v>
      </c>
      <c r="O16" s="6" t="n">
        <v>29093.53646157885</v>
      </c>
      <c r="P16" s="6" t="n">
        <v>8260.809913421152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27096.48169998937</v>
      </c>
      <c r="O17" s="6" t="n">
        <v>27096.48169998937</v>
      </c>
      <c r="P17" s="6" t="n">
        <v>17049.60626726576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S51</t>
        </is>
      </c>
      <c r="B19" t="inlineStr">
        <is>
          <t>Savings USDS / sUSDS proxy (Unichain — POL)</t>
        </is>
      </c>
      <c r="C19" t="inlineStr">
        <is>
          <t>unichain</t>
        </is>
      </c>
      <c r="D19" t="inlineStr">
        <is>
          <t>B</t>
        </is>
      </c>
      <c r="E19" s="6" t="n">
        <v>985396.9281006901</v>
      </c>
      <c r="F19" s="6" t="n">
        <v>104354426.4993414</v>
      </c>
      <c r="G19" s="6" t="n">
        <v>103369029.5712408</v>
      </c>
      <c r="H19" s="6" t="n">
        <v>2857.341423254798</v>
      </c>
      <c r="I19" s="6" t="n">
        <v>0</v>
      </c>
      <c r="J19" s="6" t="n">
        <v>2857.341423254798</v>
      </c>
      <c r="K19" s="6" t="n">
        <v>0</v>
      </c>
      <c r="L19" s="6" t="n">
        <v>4430936.00242794</v>
      </c>
      <c r="M19" s="7" t="n">
        <v>1</v>
      </c>
      <c r="N19" s="6" t="n">
        <v>10741.90149963542</v>
      </c>
      <c r="O19" s="6" t="n">
        <v>9650.973029865294</v>
      </c>
      <c r="P19" s="6" t="n">
        <v>-7884.560076380619</v>
      </c>
      <c r="Q19" s="6" t="n">
        <v>0</v>
      </c>
      <c r="R19" s="6" t="n">
        <v>1090.928469770123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4992819.462732</v>
      </c>
      <c r="F20" s="6" t="n">
        <v>0</v>
      </c>
      <c r="G20" s="6" t="n">
        <v>-4992819.462732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3499154.7296384</v>
      </c>
      <c r="M20" s="7" t="n">
        <v>1</v>
      </c>
      <c r="N20" s="6" t="n">
        <v>8482.987661560199</v>
      </c>
      <c r="O20" s="6" t="n">
        <v>8482.987661560199</v>
      </c>
      <c r="P20" s="6" t="n">
        <v>-8482.987661560199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5019997.4</v>
      </c>
      <c r="F21" s="6" t="n">
        <v>0</v>
      </c>
      <c r="G21" s="6" t="n">
        <v>-5019997.4</v>
      </c>
      <c r="H21" s="6" t="n">
        <v>6.056e-11</v>
      </c>
      <c r="I21" s="6" t="n">
        <v>0</v>
      </c>
      <c r="J21" s="6" t="n">
        <v>6.056e-11</v>
      </c>
      <c r="K21" s="6" t="n">
        <v>0</v>
      </c>
      <c r="L21" s="6" t="n">
        <v>3498646.8395605</v>
      </c>
      <c r="M21" s="7" t="n">
        <v>1</v>
      </c>
      <c r="N21" s="6" t="n">
        <v>8481.75638555295</v>
      </c>
      <c r="O21" s="6" t="n">
        <v>8481.75638555295</v>
      </c>
      <c r="P21" s="6" t="n">
        <v>-8481.75638555289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4997576.708614</v>
      </c>
      <c r="F22" s="6" t="n">
        <v>0</v>
      </c>
      <c r="G22" s="6" t="n">
        <v>-4997576.708614</v>
      </c>
      <c r="H22" s="6" t="n">
        <v>1.4532344415e-08</v>
      </c>
      <c r="I22" s="6" t="n">
        <v>0</v>
      </c>
      <c r="J22" s="6" t="n">
        <v>1.4532344415e-08</v>
      </c>
      <c r="K22" s="6" t="n">
        <v>0</v>
      </c>
      <c r="L22" s="6" t="n">
        <v>3478277.793465591</v>
      </c>
      <c r="M22" s="7" t="n">
        <v>1</v>
      </c>
      <c r="N22" s="6" t="n">
        <v>8432.375783650066</v>
      </c>
      <c r="O22" s="6" t="n">
        <v>8432.375783650066</v>
      </c>
      <c r="P22" s="6" t="n">
        <v>-8432.375783635534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4975417.167355</v>
      </c>
      <c r="F23" s="6" t="n">
        <v>0</v>
      </c>
      <c r="G23" s="6" t="n">
        <v>-4975417.167355</v>
      </c>
      <c r="H23" s="6" t="n">
        <v>5.95e-10</v>
      </c>
      <c r="I23" s="6" t="n">
        <v>0</v>
      </c>
      <c r="J23" s="6" t="n">
        <v>5.95e-10</v>
      </c>
      <c r="K23" s="6" t="n">
        <v>0</v>
      </c>
      <c r="L23" s="6" t="n">
        <v>3433368.776736433</v>
      </c>
      <c r="M23" s="7" t="n">
        <v>1</v>
      </c>
      <c r="N23" s="6" t="n">
        <v>8323.503023157531</v>
      </c>
      <c r="O23" s="6" t="n">
        <v>8323.503023157531</v>
      </c>
      <c r="P23" s="6" t="n">
        <v>-8323.503023156936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3539.096277471609</v>
      </c>
      <c r="O24" s="6" t="n">
        <v>3539.096277471609</v>
      </c>
      <c r="P24" s="6" t="n">
        <v>1372.020064013611</v>
      </c>
      <c r="Q24" s="6" t="n">
        <v>0</v>
      </c>
      <c r="R24" s="6" t="n">
        <v>0</v>
      </c>
      <c r="S24" t="inlineStr"/>
    </row>
    <row r="25">
      <c r="A25" t="inlineStr">
        <is>
          <t>S34</t>
        </is>
      </c>
      <c r="B25" t="inlineStr">
        <is>
          <t>Spark USDC Vault (Morpho, Base)</t>
        </is>
      </c>
      <c r="C25" t="inlineStr">
        <is>
          <t>base</t>
        </is>
      </c>
      <c r="D25" t="inlineStr">
        <is>
          <t>B</t>
        </is>
      </c>
      <c r="E25" s="6" t="n">
        <v>424.9110349025811</v>
      </c>
      <c r="F25" s="6" t="n">
        <v>394.3129623374141</v>
      </c>
      <c r="G25" s="6" t="n">
        <v>-30.59807256516697</v>
      </c>
      <c r="H25" s="6" t="n">
        <v>690.3378764287719</v>
      </c>
      <c r="I25" s="6" t="n">
        <v>0</v>
      </c>
      <c r="J25" s="6" t="n">
        <v>690.3378764287719</v>
      </c>
      <c r="K25" s="6" t="n">
        <v>0</v>
      </c>
      <c r="L25" s="6" t="n">
        <v>193331.1163669253</v>
      </c>
      <c r="M25" s="7" t="n">
        <v>1</v>
      </c>
      <c r="N25" s="6" t="n">
        <v>468.6918988877537</v>
      </c>
      <c r="O25" s="6" t="n">
        <v>468.6918988877537</v>
      </c>
      <c r="P25" s="6" t="n">
        <v>221.6459775410182</v>
      </c>
      <c r="Q25" s="6" t="n">
        <v>0</v>
      </c>
      <c r="R25" s="6" t="n">
        <v>0</v>
      </c>
      <c r="S25" t="inlineStr"/>
    </row>
    <row r="26">
      <c r="A26" t="inlineStr">
        <is>
          <t>S55</t>
        </is>
      </c>
      <c r="B26" t="inlineStr">
        <is>
          <t>USDC raw (Avalanche-C — ALM idle)</t>
        </is>
      </c>
      <c r="C26" t="inlineStr">
        <is>
          <t>avalanche_c</t>
        </is>
      </c>
      <c r="D26" t="inlineStr">
        <is>
          <t>A</t>
        </is>
      </c>
      <c r="E26" s="6" t="n">
        <v>0</v>
      </c>
      <c r="F26" s="6" t="n">
        <v>0</v>
      </c>
      <c r="G26" s="6" t="n">
        <v>0</v>
      </c>
      <c r="H26" s="6" t="n">
        <v>3.15299999999996e-10</v>
      </c>
      <c r="I26" s="6" t="n">
        <v>0</v>
      </c>
      <c r="J26" s="6" t="n">
        <v>3.15299999999996e-10</v>
      </c>
      <c r="K26" s="6" t="n">
        <v>0</v>
      </c>
      <c r="L26" s="6" t="n">
        <v>1206.634682533317</v>
      </c>
      <c r="M26" s="7" t="n">
        <v>1</v>
      </c>
      <c r="N26" s="6" t="n">
        <v>2.925239926443179</v>
      </c>
      <c r="O26" s="6" t="n">
        <v>2.925239926443179</v>
      </c>
      <c r="P26" s="6" t="n">
        <v>-2.925239926127879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539.8728953809741</v>
      </c>
      <c r="F27" s="6" t="n">
        <v>637.4866706248019</v>
      </c>
      <c r="G27" s="6" t="n">
        <v>97.6137752438278</v>
      </c>
      <c r="H27" s="6" t="n">
        <v>97.6137752438278</v>
      </c>
      <c r="I27" s="6" t="n">
        <v>0</v>
      </c>
      <c r="J27" s="6" t="n">
        <v>97.6137752438278</v>
      </c>
      <c r="K27" s="6" t="n">
        <v>0</v>
      </c>
      <c r="L27" s="6" t="n">
        <v>539.8728953809741</v>
      </c>
      <c r="M27" s="7" t="n">
        <v>1</v>
      </c>
      <c r="N27" s="6" t="n">
        <v>1.308811831479327</v>
      </c>
      <c r="O27" s="6" t="n">
        <v>1.308811831479327</v>
      </c>
      <c r="P27" s="6" t="n">
        <v>96.30496341234849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0.6882510335376544</v>
      </c>
      <c r="O28" s="6" t="n">
        <v>0.6882510335376544</v>
      </c>
      <c r="P28" s="6" t="n">
        <v>-0.6882510335376544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99.81305763596731</v>
      </c>
      <c r="F29" s="6" t="n">
        <v>100.1238263246728</v>
      </c>
      <c r="G29" s="6" t="n">
        <v>0.3107686887055447</v>
      </c>
      <c r="H29" s="6" t="n">
        <v>0.3107686887055447</v>
      </c>
      <c r="I29" s="6" t="n">
        <v>0</v>
      </c>
      <c r="J29" s="6" t="n">
        <v>0.3107686887055447</v>
      </c>
      <c r="K29" s="6" t="n">
        <v>0</v>
      </c>
      <c r="L29" s="6" t="n">
        <v>99.81305763596731</v>
      </c>
      <c r="M29" s="7" t="n">
        <v>1</v>
      </c>
      <c r="N29" s="6" t="n">
        <v>0.24197642053857</v>
      </c>
      <c r="O29" s="6" t="n">
        <v>0.24197642053857</v>
      </c>
      <c r="P29" s="6" t="n">
        <v>0.06879226816697472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21.90661272343654</v>
      </c>
      <c r="F30" s="6" t="n">
        <v>21.90842102645718</v>
      </c>
      <c r="G30" s="6" t="n">
        <v>0.001808303020639377</v>
      </c>
      <c r="H30" s="6" t="n">
        <v>0.0001839966329158897</v>
      </c>
      <c r="I30" s="6" t="n">
        <v>0</v>
      </c>
      <c r="J30" s="6" t="n">
        <v>0.0001839966329158897</v>
      </c>
      <c r="K30" s="6" t="n">
        <v>0</v>
      </c>
      <c r="L30" s="6" t="n">
        <v>21.90693758471409</v>
      </c>
      <c r="M30" s="7" t="n">
        <v>1</v>
      </c>
      <c r="N30" s="6" t="n">
        <v>0.05310890646236246</v>
      </c>
      <c r="O30" s="6" t="n">
        <v>0.05310890646236246</v>
      </c>
      <c r="P30" s="6" t="n">
        <v>-0.05292490982944657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10.015998</v>
      </c>
      <c r="F31" s="6" t="n">
        <v>1.353383</v>
      </c>
      <c r="G31" s="6" t="n">
        <v>-8.662615000000001</v>
      </c>
      <c r="H31" s="6" t="n">
        <v>-8.662615000000001</v>
      </c>
      <c r="I31" s="6" t="n">
        <v>0</v>
      </c>
      <c r="J31" s="6" t="n">
        <v>-8.662615000000001</v>
      </c>
      <c r="K31" s="6" t="n">
        <v>0</v>
      </c>
      <c r="L31" s="6" t="n">
        <v>10.015998</v>
      </c>
      <c r="M31" s="7" t="n">
        <v>1</v>
      </c>
      <c r="N31" s="6" t="n">
        <v>0.02428174631219921</v>
      </c>
      <c r="O31" s="6" t="n">
        <v>0.02428174631219921</v>
      </c>
      <c r="P31" s="6" t="n">
        <v>-8.686896746312199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5.913258</v>
      </c>
      <c r="F32" s="6" t="n">
        <v>5.924825</v>
      </c>
      <c r="G32" s="6" t="n">
        <v>0.011567</v>
      </c>
      <c r="H32" s="6" t="n">
        <v>0.011567</v>
      </c>
      <c r="I32" s="6" t="n">
        <v>0</v>
      </c>
      <c r="J32" s="6" t="n">
        <v>0.011567</v>
      </c>
      <c r="K32" s="6" t="n">
        <v>0</v>
      </c>
      <c r="L32" s="6" t="n">
        <v>5.913258</v>
      </c>
      <c r="M32" s="7" t="n">
        <v>1</v>
      </c>
      <c r="N32" s="6" t="n">
        <v>0.0143354891479194</v>
      </c>
      <c r="O32" s="6" t="n">
        <v>0.0143354891479194</v>
      </c>
      <c r="P32" s="6" t="n">
        <v>-0.002768489147919404</v>
      </c>
      <c r="Q32" s="6" t="n">
        <v>0</v>
      </c>
      <c r="R32" s="6" t="n">
        <v>0</v>
      </c>
      <c r="S32" t="inlineStr"/>
    </row>
    <row r="33">
      <c r="A33" t="inlineStr">
        <is>
          <t>S54</t>
        </is>
      </c>
      <c r="B33" t="inlineStr">
        <is>
          <t>Aave Avalanche USDC (aAvaUSDC)</t>
        </is>
      </c>
      <c r="C33" t="inlineStr">
        <is>
          <t>avalanche_c</t>
        </is>
      </c>
      <c r="D33" t="inlineStr">
        <is>
          <t>C</t>
        </is>
      </c>
      <c r="E33" s="6" t="n">
        <v>0.155165</v>
      </c>
      <c r="F33" s="6" t="n">
        <v>0.155607</v>
      </c>
      <c r="G33" s="6" t="n">
        <v>0.000442</v>
      </c>
      <c r="H33" s="6" t="n">
        <v>0.000442</v>
      </c>
      <c r="I33" s="6" t="n">
        <v>0</v>
      </c>
      <c r="J33" s="6" t="n">
        <v>0.000442</v>
      </c>
      <c r="K33" s="6" t="n">
        <v>0</v>
      </c>
      <c r="L33" s="6" t="n">
        <v>0.155165</v>
      </c>
      <c r="M33" s="7" t="n">
        <v>1</v>
      </c>
      <c r="N33" s="6" t="n">
        <v>0.0003761659264041776</v>
      </c>
      <c r="O33" s="6" t="n">
        <v>0.0003761659264041776</v>
      </c>
      <c r="P33" s="6" t="n">
        <v>6.583407359582241e-05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0.057969</v>
      </c>
      <c r="F34" s="6" t="n">
        <v>0.058128</v>
      </c>
      <c r="G34" s="6" t="n">
        <v>0.000159</v>
      </c>
      <c r="H34" s="6" t="n">
        <v>0.000159</v>
      </c>
      <c r="I34" s="6" t="n">
        <v>0</v>
      </c>
      <c r="J34" s="6" t="n">
        <v>0.000159</v>
      </c>
      <c r="K34" s="6" t="n">
        <v>0</v>
      </c>
      <c r="L34" s="6" t="n">
        <v>0.057969</v>
      </c>
      <c r="M34" s="7" t="n">
        <v>1</v>
      </c>
      <c r="N34" s="6" t="n">
        <v>0.0001405340288578208</v>
      </c>
      <c r="O34" s="6" t="n">
        <v>0.0001405340288578208</v>
      </c>
      <c r="P34" s="6" t="n">
        <v>1.846597114217916e-05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0.006363</v>
      </c>
      <c r="F35" s="6" t="n">
        <v>0.006375</v>
      </c>
      <c r="G35" s="6" t="n">
        <v>1.2e-05</v>
      </c>
      <c r="H35" s="6" t="n">
        <v>1.2e-05</v>
      </c>
      <c r="I35" s="6" t="n">
        <v>0</v>
      </c>
      <c r="J35" s="6" t="n">
        <v>1.2e-05</v>
      </c>
      <c r="K35" s="6" t="n">
        <v>0</v>
      </c>
      <c r="L35" s="6" t="n">
        <v>0.006363</v>
      </c>
      <c r="M35" s="7" t="n">
        <v>1</v>
      </c>
      <c r="N35" s="6" t="n">
        <v>1.542579698843026e-05</v>
      </c>
      <c r="O35" s="6" t="n">
        <v>1.542579698843026e-05</v>
      </c>
      <c r="P35" s="6" t="n">
        <v>-3.425796988430264e-06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0.005746426914602806</v>
      </c>
      <c r="F36" s="6" t="n">
        <v>0.005747618663969358</v>
      </c>
      <c r="G36" s="6" t="n">
        <v>1.191749366552e-06</v>
      </c>
      <c r="H36" s="6" t="n">
        <v>1.191749366552e-06</v>
      </c>
      <c r="I36" s="6" t="n">
        <v>0</v>
      </c>
      <c r="J36" s="6" t="n">
        <v>1.191749366552e-06</v>
      </c>
      <c r="K36" s="6" t="n">
        <v>0</v>
      </c>
      <c r="L36" s="6" t="n">
        <v>0.005746426914602806</v>
      </c>
      <c r="M36" s="7" t="n">
        <v>1</v>
      </c>
      <c r="N36" s="6" t="n">
        <v>1.393104117452689e-05</v>
      </c>
      <c r="O36" s="6" t="n">
        <v>1.393104117452689e-05</v>
      </c>
      <c r="P36" s="6" t="n">
        <v>-1.273929180797489e-05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0.001705</v>
      </c>
      <c r="F37" s="6" t="n">
        <v>0.001709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0.001705</v>
      </c>
      <c r="M37" s="7" t="n">
        <v>1</v>
      </c>
      <c r="N37" s="6" t="n">
        <v>4.133425092766556e-06</v>
      </c>
      <c r="O37" s="6" t="n">
        <v>4.133425092766556e-06</v>
      </c>
      <c r="P37" s="6" t="n">
        <v>-1.334250927665568e-07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3.006478064367456e-06</v>
      </c>
      <c r="O38" s="6" t="n">
        <v>3.006478064367456e-06</v>
      </c>
      <c r="P38" s="6" t="n">
        <v>-3.006478064367456e-06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0.000521673271312833</v>
      </c>
      <c r="F39" s="6" t="n">
        <v>0.000522139801452544</v>
      </c>
      <c r="G39" s="6" t="n">
        <v>4.66530139711e-07</v>
      </c>
      <c r="H39" s="6" t="n">
        <v>4.6653013971e-07</v>
      </c>
      <c r="I39" s="6" t="n">
        <v>0</v>
      </c>
      <c r="J39" s="6" t="n">
        <v>4.6653013971e-07</v>
      </c>
      <c r="K39" s="6" t="n">
        <v>0</v>
      </c>
      <c r="L39" s="6" t="n">
        <v>0.000521673271312833</v>
      </c>
      <c r="M39" s="7" t="n">
        <v>1</v>
      </c>
      <c r="N39" s="6" t="n">
        <v>1.264690551243449e-06</v>
      </c>
      <c r="O39" s="6" t="n">
        <v>1.264690551243449e-06</v>
      </c>
      <c r="P39" s="6" t="n">
        <v>-7.981604115334486e-07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1.815707602057161e-07</v>
      </c>
      <c r="O40" s="6" t="n">
        <v>1.815707602057161e-07</v>
      </c>
      <c r="P40" s="6" t="n">
        <v>-1.815707602057161e-07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1435964.694856968</v>
      </c>
      <c r="I46" s="6" t="n">
        <v>0</v>
      </c>
      <c r="J46" s="6" t="n">
        <v>1435964.694856968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1435964.694856968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7.364216e-08</v>
      </c>
      <c r="I47" s="6" t="n">
        <v>0</v>
      </c>
      <c r="J47" s="6" t="n">
        <v>7.364216e-08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7.364216e-08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-2.3626413e-07</v>
      </c>
      <c r="I48" s="6" t="n">
        <v>0</v>
      </c>
      <c r="J48" s="6" t="n">
        <v>-2.3626413e-07</v>
      </c>
      <c r="K48" s="6" t="n">
        <v>0</v>
      </c>
      <c r="L48" s="6" t="n">
        <v>1925.254906924896</v>
      </c>
      <c r="M48" s="7" t="n">
        <v>0</v>
      </c>
      <c r="N48" s="6" t="n">
        <v>0</v>
      </c>
      <c r="O48" s="6" t="n">
        <v>0</v>
      </c>
      <c r="P48" s="6" t="n">
        <v>-2.3626413e-07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146550618.2104181</v>
      </c>
      <c r="G49" s="6" t="n">
        <v>81380618.21041812</v>
      </c>
      <c r="H49" s="6" t="n">
        <v>-2.524958539e-09</v>
      </c>
      <c r="I49" s="6" t="n">
        <v>0</v>
      </c>
      <c r="J49" s="6" t="n">
        <v>-2.524958539e-09</v>
      </c>
      <c r="K49" s="6" t="n">
        <v>0</v>
      </c>
      <c r="L49" s="6" t="n">
        <v>95010226.6771533</v>
      </c>
      <c r="M49" s="7" t="n">
        <v>0</v>
      </c>
      <c r="N49" s="6" t="n">
        <v>0</v>
      </c>
      <c r="O49" s="6" t="n">
        <v>0</v>
      </c>
      <c r="P49" s="6" t="n">
        <v>-2.524958539e-09</v>
      </c>
      <c r="Q49" s="6" t="n">
        <v>0</v>
      </c>
      <c r="R49" s="6" t="n">
        <v>0</v>
      </c>
      <c r="S49" t="inlineStr">
        <is>
          <t>CoF excluded (Savings V2 depositor capital; not in cum_alm_usds)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100304256.5863323</v>
      </c>
      <c r="G52" s="6" t="n">
        <v>10404256.58633234</v>
      </c>
      <c r="H52" s="6" t="n">
        <v>-1.484488714e-09</v>
      </c>
      <c r="I52" s="6" t="n">
        <v>0</v>
      </c>
      <c r="J52" s="6" t="n">
        <v>-1.484488714e-09</v>
      </c>
      <c r="K52" s="6" t="n">
        <v>0</v>
      </c>
      <c r="L52" s="6" t="n">
        <v>93715560.74832186</v>
      </c>
      <c r="M52" s="7" t="n">
        <v>0</v>
      </c>
      <c r="N52" s="6" t="n">
        <v>0</v>
      </c>
      <c r="O52" s="6" t="n">
        <v>0</v>
      </c>
      <c r="P52" s="6" t="n">
        <v>-1.484488714e-09</v>
      </c>
      <c r="Q52" s="6" t="n">
        <v>0</v>
      </c>
      <c r="R52" s="6" t="n">
        <v>0</v>
      </c>
      <c r="S52" t="inlineStr">
        <is>
          <t>CoF excluded (Savings V2 depositor capital; not in cum_alm_usds)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99990828.81481861</v>
      </c>
      <c r="G53" s="6" t="n">
        <v>10090828.81481861</v>
      </c>
      <c r="H53" s="6" t="n">
        <v>-2.98022377e-10</v>
      </c>
      <c r="I53" s="6" t="n">
        <v>0</v>
      </c>
      <c r="J53" s="6" t="n">
        <v>-2.98022377e-10</v>
      </c>
      <c r="K53" s="6" t="n">
        <v>0</v>
      </c>
      <c r="L53" s="6" t="n">
        <v>93600637.23210016</v>
      </c>
      <c r="M53" s="7" t="n">
        <v>0</v>
      </c>
      <c r="N53" s="6" t="n">
        <v>0</v>
      </c>
      <c r="O53" s="6" t="n">
        <v>0</v>
      </c>
      <c r="P53" s="6" t="n">
        <v>-2.98022377e-10</v>
      </c>
      <c r="Q53" s="6" t="n">
        <v>0</v>
      </c>
      <c r="R53" s="6" t="n">
        <v>0</v>
      </c>
      <c r="S53" t="inlineStr">
        <is>
          <t>CoF excluded (Savings V2 depositor capital; not in cum_alm_usds)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303545287.192935</v>
      </c>
      <c r="F58" s="6" t="n">
        <v>317193040.533521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1270360913.25412</v>
      </c>
      <c r="F59" s="6" t="n">
        <v>863439216.480082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773533.783718</v>
      </c>
      <c r="F60" s="6" t="n">
        <v>797030.383413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25647247.422478</v>
      </c>
      <c r="F61" s="6" t="n">
        <v>19103797.28946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2986217097.514784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1986217097.514784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0.03835121139107078</v>
      </c>
    </row>
    <row r="12">
      <c r="A12" s="8" t="inlineStr">
        <is>
          <t>Diff vs base rate (bps)</t>
        </is>
      </c>
      <c r="B12" s="11" t="n">
        <v>-7.567928746118147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9416321.300288821</v>
      </c>
    </row>
    <row r="16">
      <c r="A16" t="inlineStr">
        <is>
          <t xml:space="preserve">  − actual CoF (subsidy on first tranche)</t>
        </is>
      </c>
      <c r="B16" s="3" t="n">
        <v>9237350.035501989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1986217097.514784</v>
      </c>
      <c r="C21" s="3" t="n">
        <v>6263060.504841177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9066267.680703618</v>
      </c>
    </row>
    <row r="25">
      <c r="A25" t="inlineStr">
        <is>
          <t>+ Sky-Direct revenue (full venue yield on fixed/capped SDE)</t>
        </is>
      </c>
      <c r="B25" s="3" t="n">
        <v>19891.47439593931</v>
      </c>
    </row>
    <row r="26">
      <c r="A26" t="inlineStr">
        <is>
          <t>equals sky_revenue (total Sky take this month)</t>
        </is>
      </c>
      <c r="B26" s="3" t="n">
        <v>9086159.155099558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9066267.680703618</v>
      </c>
    </row>
    <row r="32">
      <c r="A32" t="inlineStr">
        <is>
          <t xml:space="preserve">    ↳ reduction from idle/SDE deductions</t>
        </is>
      </c>
      <c r="B32" s="3" t="n">
        <v>-2608266.10095845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171082.354798371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88616292.08559048</v>
      </c>
      <c r="F6" s="6" t="n">
        <v>73966626.05865648</v>
      </c>
      <c r="G6" s="6" t="n">
        <v>275726915.1248708</v>
      </c>
      <c r="H6" s="6" t="n">
        <v>3189409952.009573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329157.4255864748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86564422.08440566</v>
      </c>
      <c r="F7" s="6" t="n">
        <v>71519833.45271687</v>
      </c>
      <c r="G7" s="6" t="n">
        <v>295365472.0216876</v>
      </c>
      <c r="H7" s="6" t="n">
        <v>3225279401.315834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332927.6165281991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81952222.54390022</v>
      </c>
      <c r="F8" s="6" t="n">
        <v>69759995.89224416</v>
      </c>
      <c r="G8" s="6" t="n">
        <v>293845524.0721337</v>
      </c>
      <c r="H8" s="6" t="n">
        <v>3224010853.102252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332794.2810832317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81400260.73180319</v>
      </c>
      <c r="F9" s="6" t="n">
        <v>70641842.2466826</v>
      </c>
      <c r="G9" s="6" t="n">
        <v>259701827.6324171</v>
      </c>
      <c r="H9" s="6" t="n">
        <v>3170045015.962805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327122.002465054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69093022.25693116</v>
      </c>
      <c r="F10" s="6" t="n">
        <v>31863872.09726685</v>
      </c>
      <c r="G10" s="6" t="n">
        <v>207279980.22869</v>
      </c>
      <c r="H10" s="6" t="n">
        <v>3106854058.297527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320480.0834839636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77569947.69440159</v>
      </c>
      <c r="F11" s="6" t="n">
        <v>43308788.01971861</v>
      </c>
      <c r="G11" s="6" t="n">
        <v>219866569.9365954</v>
      </c>
      <c r="H11" s="6" t="n">
        <v>3112923574.767181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321118.0424283331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76788367.46748298</v>
      </c>
      <c r="F12" s="6" t="n">
        <v>50808350.73815645</v>
      </c>
      <c r="G12" s="6" t="n">
        <v>233820162.1960171</v>
      </c>
      <c r="H12" s="6" t="n">
        <v>3136257482.403338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323570.6389667894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75760182.44680062</v>
      </c>
      <c r="F13" s="6" t="n">
        <v>70007775.93805042</v>
      </c>
      <c r="G13" s="6" t="n">
        <v>247432620.1013258</v>
      </c>
      <c r="H13" s="6" t="n">
        <v>3076827279.99774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317324.0080564197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80050815.6017576</v>
      </c>
      <c r="F14" s="6" t="n">
        <v>67941967.31765833</v>
      </c>
      <c r="G14" s="6" t="n">
        <v>238697706.7029445</v>
      </c>
      <c r="H14" s="6" t="n">
        <v>3058083368.048657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315353.8599663408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81275187.69112274</v>
      </c>
      <c r="F15" s="6" t="n">
        <v>71623507.15292946</v>
      </c>
      <c r="G15" s="6" t="n">
        <v>238206862.499659</v>
      </c>
      <c r="H15" s="6" t="n">
        <v>3047896657.267934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314283.1481083602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81215947.91151083</v>
      </c>
      <c r="F16" s="6" t="n">
        <v>67845517.37781033</v>
      </c>
      <c r="G16" s="6" t="n">
        <v>237780248.9173348</v>
      </c>
      <c r="H16" s="6" t="n">
        <v>3041743187.662122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313636.3649595607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78997567.51920974</v>
      </c>
      <c r="F17" s="6" t="n">
        <v>65237491.89061948</v>
      </c>
      <c r="G17" s="6" t="n">
        <v>229796725.1160904</v>
      </c>
      <c r="H17" s="6" t="n">
        <v>3076479974.029222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317287.5031799347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78765242.31002365</v>
      </c>
      <c r="F18" s="6" t="n">
        <v>64786120.4074498</v>
      </c>
      <c r="G18" s="6" t="n">
        <v>226868838.8186921</v>
      </c>
      <c r="H18" s="6" t="n">
        <v>3019574693.956683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311306.2635563777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79471131.21310683</v>
      </c>
      <c r="F19" s="6" t="n">
        <v>60666156.9094474</v>
      </c>
      <c r="G19" s="6" t="n">
        <v>226543246.5083539</v>
      </c>
      <c r="H19" s="6" t="n">
        <v>3029300410.635757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312328.5209267696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79482341.35048892</v>
      </c>
      <c r="F20" s="6" t="n">
        <v>66641063.85555425</v>
      </c>
      <c r="G20" s="6" t="n">
        <v>231469156.3066669</v>
      </c>
      <c r="H20" s="6" t="n">
        <v>3039931130.746615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313655.1101440299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81248545.03625311</v>
      </c>
      <c r="F21" s="6" t="n">
        <v>68286062.48687479</v>
      </c>
      <c r="G21" s="6" t="n">
        <v>228136263.6824556</v>
      </c>
      <c r="H21" s="6" t="n">
        <v>2767476272.26132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285017.7360176659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80967462.51629348</v>
      </c>
      <c r="F22" s="6" t="n">
        <v>79328906.40630278</v>
      </c>
      <c r="G22" s="6" t="n">
        <v>229984484.7397425</v>
      </c>
      <c r="H22" s="6" t="n">
        <v>2763048091.526166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284552.2957274221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81559483.04995982</v>
      </c>
      <c r="F23" s="6" t="n">
        <v>71198474.75243124</v>
      </c>
      <c r="G23" s="6" t="n">
        <v>229875387.3075938</v>
      </c>
      <c r="H23" s="6" t="n">
        <v>2738406665.089252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281962.2675965079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81156842.66544402</v>
      </c>
      <c r="F24" s="6" t="n">
        <v>70973084.16176295</v>
      </c>
      <c r="G24" s="6" t="n">
        <v>228544025.637105</v>
      </c>
      <c r="H24" s="6" t="n">
        <v>2737102723.532863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281825.2120035306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81822687.6721226</v>
      </c>
      <c r="F25" s="6" t="n">
        <v>66255567.41316157</v>
      </c>
      <c r="G25" s="6" t="n">
        <v>234890289.0773326</v>
      </c>
      <c r="H25" s="6" t="n">
        <v>2855940846.675454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294316.1318272009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81813150.25108935</v>
      </c>
      <c r="F26" s="6" t="n">
        <v>65683498.36361798</v>
      </c>
      <c r="G26" s="6" t="n">
        <v>234995824.5727294</v>
      </c>
      <c r="H26" s="6" t="n">
        <v>2853174308.97369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294025.3446647309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48597096.62418</v>
      </c>
      <c r="F27" s="6" t="n">
        <v>74064594.53838435</v>
      </c>
      <c r="G27" s="6" t="n">
        <v>244663090.2074062</v>
      </c>
      <c r="H27" s="6" t="n">
        <v>2852720525.148238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293977.6480398508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48892875.67710059</v>
      </c>
      <c r="F28" s="6" t="n">
        <v>71407736.84350848</v>
      </c>
      <c r="G28" s="6" t="n">
        <v>240687318.9891957</v>
      </c>
      <c r="H28" s="6" t="n">
        <v>2849463670.521194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293635.3243061197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12028752.84515581</v>
      </c>
      <c r="F29" s="6" t="n">
        <v>32825711.63561737</v>
      </c>
      <c r="G29" s="6" t="n">
        <v>238646466.469051</v>
      </c>
      <c r="H29" s="6" t="n">
        <v>2900667521.503823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299017.2941687687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12027024.55766915</v>
      </c>
      <c r="F30" s="6" t="n">
        <v>2.726860306154629</v>
      </c>
      <c r="G30" s="6" t="n">
        <v>269199092.0350934</v>
      </c>
      <c r="H30" s="6" t="n">
        <v>2971702911.044312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306483.7311330145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12033872.48206197</v>
      </c>
      <c r="F31" s="6" t="n">
        <v>2.878880678604907</v>
      </c>
      <c r="G31" s="6" t="n">
        <v>277744609.8729502</v>
      </c>
      <c r="H31" s="6" t="n">
        <v>2983991120.416507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307775.3287616677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12034552.12098754</v>
      </c>
      <c r="F32" s="6" t="n">
        <v>3.370312549055434</v>
      </c>
      <c r="G32" s="6" t="n">
        <v>275445094.1148835</v>
      </c>
      <c r="H32" s="6" t="n">
        <v>2970474891.882532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306354.6556437179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12039742.08069779</v>
      </c>
      <c r="F33" s="6" t="n">
        <v>3.312057178610368</v>
      </c>
      <c r="G33" s="6" t="n">
        <v>275142578.7506528</v>
      </c>
      <c r="H33" s="6" t="n">
        <v>2970478378.83077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306355.0221522904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12038404.56699051</v>
      </c>
      <c r="F34" s="6" t="n">
        <v>3.164221110747273</v>
      </c>
      <c r="G34" s="6" t="n">
        <v>268307675.2718963</v>
      </c>
      <c r="H34" s="6" t="n">
        <v>2956160844.299307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304850.124808106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12032798.66154938</v>
      </c>
      <c r="F35" s="6" t="n">
        <v>2.969736813081486</v>
      </c>
      <c r="G35" s="6" t="n">
        <v>268672569.1184176</v>
      </c>
      <c r="H35" s="6" t="n">
        <v>2861087113.534848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294857.0492115556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9237350.035501989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2026-07-03T07:26:49Z</dcterms:created>
  <dcterms:modified xmlns:dcterms="http://purl.org/dc/terms/" xmlns:xsi="http://www.w3.org/2001/XMLSchema-instance" xsi:type="dcterms:W3CDTF">2026-07-03T07:26:49Z</dcterms:modified>
</cp:coreProperties>
</file>