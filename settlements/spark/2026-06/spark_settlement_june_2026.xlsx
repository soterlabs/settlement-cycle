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11279641.55178227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1650764.59</v>
      </c>
    </row>
    <row r="7">
      <c r="A7" t="inlineStr"/>
      <c r="B7" s="4" t="n">
        <v>13045268.95174489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9054205.487267924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9075246.988098558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9054205.487267924</v>
      </c>
    </row>
    <row r="16">
      <c r="A16" t="inlineStr">
        <is>
          <t>reduction from idle/SDE deductions</t>
        </is>
      </c>
      <c r="B16" s="3" t="n">
        <v>-2736145.692648868</v>
      </c>
    </row>
    <row r="17">
      <c r="A17" t="inlineStr"/>
      <c r="B17" s="4" t="n">
        <v>11790351.17991679</v>
      </c>
    </row>
    <row r="19">
      <c r="A19" s="5" t="inlineStr">
        <is>
          <t>sUSDS spread (Curve LP + PSM3) — deducted from sky_revenue</t>
        </is>
      </c>
      <c r="B19" s="3" t="n">
        <v>171082.3644681933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11279641.55178227</v>
      </c>
    </row>
    <row r="23">
      <c r="A23" t="inlineStr">
        <is>
          <t>− CoF (deducted per-venue in display)</t>
        </is>
      </c>
      <c r="B23" s="3" t="n">
        <v>-9054205.487267924</v>
      </c>
    </row>
    <row r="24">
      <c r="A24" t="inlineStr"/>
      <c r="B24" s="4" t="n">
        <v>1243948.415296367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2026-07-31T00:23:57+00:00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3055169.986446361</v>
      </c>
      <c r="O2" s="6" t="n">
        <v>3055169.986446361</v>
      </c>
      <c r="P2" s="6" t="n">
        <v>-28496.41518328837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1363222.192022578</v>
      </c>
      <c r="O3" s="6" t="n">
        <v>1363222.192022578</v>
      </c>
      <c r="P3" s="6" t="n">
        <v>-1363222.192022578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1137881.925589106</v>
      </c>
      <c r="O4" s="6" t="n">
        <v>1137881.925589106</v>
      </c>
      <c r="P4" s="6" t="n">
        <v>-39393.75644310547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895840.4004751126</v>
      </c>
      <c r="O5" s="6" t="n">
        <v>895840.4004751126</v>
      </c>
      <c r="P5" s="6" t="n">
        <v>100606.019364116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586542.5886252404</v>
      </c>
      <c r="O6" s="6" t="n">
        <v>586542.5886252404</v>
      </c>
      <c r="P6" s="6" t="n">
        <v>978102.4113747637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405521.4646619409</v>
      </c>
      <c r="O7" s="6" t="n">
        <v>405521.4646619409</v>
      </c>
      <c r="P7" s="6" t="n">
        <v>108281.8393237228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144183127.2756985</v>
      </c>
      <c r="G8" s="6" t="n">
        <v>418515.6956130954</v>
      </c>
      <c r="H8" s="6" t="n">
        <v>418515.6956130954</v>
      </c>
      <c r="I8" s="6" t="n">
        <v>0</v>
      </c>
      <c r="J8" s="6" t="n">
        <v>418515.6956130954</v>
      </c>
      <c r="K8" s="6" t="n">
        <v>0</v>
      </c>
      <c r="L8" s="6" t="n">
        <v>143764611.5800855</v>
      </c>
      <c r="M8" s="7" t="n">
        <v>1</v>
      </c>
      <c r="N8" s="6" t="n">
        <v>329234.4170919614</v>
      </c>
      <c r="O8" s="6" t="n">
        <v>293838.5306173611</v>
      </c>
      <c r="P8" s="6" t="n">
        <v>89281.27852113397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201095497.4250933</v>
      </c>
      <c r="G9" s="6" t="n">
        <v>98744068.96433853</v>
      </c>
      <c r="H9" s="6" t="n">
        <v>393303.6054492357</v>
      </c>
      <c r="I9" s="6" t="n">
        <v>0</v>
      </c>
      <c r="J9" s="6" t="n">
        <v>393303.6054492357</v>
      </c>
      <c r="K9" s="6" t="n">
        <v>0</v>
      </c>
      <c r="L9" s="6" t="n">
        <v>138414109.5363883</v>
      </c>
      <c r="M9" s="7" t="n">
        <v>1</v>
      </c>
      <c r="N9" s="6" t="n">
        <v>316981.2665972398</v>
      </c>
      <c r="O9" s="6" t="n">
        <v>282902.7123982206</v>
      </c>
      <c r="P9" s="6" t="n">
        <v>76322.3388519959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211445951.3696985</v>
      </c>
      <c r="G10" s="6" t="n">
        <v>135442523.0743815</v>
      </c>
      <c r="H10" s="6" t="n">
        <v>352217.9792907777</v>
      </c>
      <c r="I10" s="6" t="n">
        <v>0</v>
      </c>
      <c r="J10" s="6" t="n">
        <v>352217.9792907777</v>
      </c>
      <c r="K10" s="6" t="n">
        <v>0</v>
      </c>
      <c r="L10" s="6" t="n">
        <v>125537273.940891</v>
      </c>
      <c r="M10" s="7" t="n">
        <v>1</v>
      </c>
      <c r="N10" s="6" t="n">
        <v>287492.1077932952</v>
      </c>
      <c r="O10" s="6" t="n">
        <v>256583.9235892341</v>
      </c>
      <c r="P10" s="6" t="n">
        <v>64725.87149748252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240674.3096638738</v>
      </c>
      <c r="O11" s="6" t="n">
        <v>240674.3096638738</v>
      </c>
      <c r="P11" s="6" t="n">
        <v>174419.8735234396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229008.7713537646</v>
      </c>
      <c r="O12" s="6" t="n">
        <v>229008.7713537646</v>
      </c>
      <c r="P12" s="6" t="n">
        <v>-202241.4324067646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221371.7792112366</v>
      </c>
      <c r="O13" s="6" t="n">
        <v>221371.7792112366</v>
      </c>
      <c r="P13" s="6" t="n">
        <v>-191245.6346909044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45087.94574598421</v>
      </c>
      <c r="O15" s="6" t="n">
        <v>45087.94574598421</v>
      </c>
      <c r="P15" s="6" t="n">
        <v>50559.37394423078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37354.346376</v>
      </c>
      <c r="I16" s="6" t="n">
        <v>0</v>
      </c>
      <c r="J16" s="6" t="n">
        <v>37354.346376</v>
      </c>
      <c r="K16" s="6" t="n">
        <v>0</v>
      </c>
      <c r="L16" s="6" t="n">
        <v>12000817.37390113</v>
      </c>
      <c r="M16" s="7" t="n">
        <v>1</v>
      </c>
      <c r="N16" s="6" t="n">
        <v>27482.99507992921</v>
      </c>
      <c r="O16" s="6" t="n">
        <v>27482.99507992921</v>
      </c>
      <c r="P16" s="6" t="n">
        <v>9871.351296070787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25596.49199840826</v>
      </c>
      <c r="O17" s="6" t="n">
        <v>25596.49199840826</v>
      </c>
      <c r="P17" s="6" t="n">
        <v>18549.59596884687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11113.05512744882</v>
      </c>
      <c r="O19" s="6" t="n">
        <v>11113.05512744882</v>
      </c>
      <c r="P19" s="6" t="n">
        <v>-11113.05512744882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11063.42116162881</v>
      </c>
      <c r="O20" s="6" t="n">
        <v>11063.42116162881</v>
      </c>
      <c r="P20" s="6" t="n">
        <v>-11063.42116162881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11052.8897745525</v>
      </c>
      <c r="O21" s="6" t="n">
        <v>11052.8897745525</v>
      </c>
      <c r="P21" s="6" t="n">
        <v>-11052.8897745525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11014.36531876916</v>
      </c>
      <c r="O22" s="6" t="n">
        <v>11014.36531876916</v>
      </c>
      <c r="P22" s="6" t="n">
        <v>-11014.36531876916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104355616.018357</v>
      </c>
      <c r="G23" s="6" t="n">
        <v>103370219.0902563</v>
      </c>
      <c r="H23" s="6" t="n">
        <v>2868.606371807529</v>
      </c>
      <c r="I23" s="6" t="n">
        <v>0</v>
      </c>
      <c r="J23" s="6" t="n">
        <v>2868.606371807529</v>
      </c>
      <c r="K23" s="6" t="n">
        <v>0</v>
      </c>
      <c r="L23" s="6" t="n">
        <v>4430975.277563506</v>
      </c>
      <c r="M23" s="7" t="n">
        <v>1</v>
      </c>
      <c r="N23" s="6" t="n">
        <v>10147.34813125313</v>
      </c>
      <c r="O23" s="6" t="n">
        <v>9056.409991660761</v>
      </c>
      <c r="P23" s="6" t="n">
        <v>-7278.741759445605</v>
      </c>
      <c r="Q23" s="6" t="n">
        <v>0</v>
      </c>
      <c r="R23" s="6" t="n">
        <v>1090.938139592373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3343.181249539641</v>
      </c>
      <c r="O24" s="6" t="n">
        <v>3343.181249539641</v>
      </c>
      <c r="P24" s="6" t="n">
        <v>1567.935091945579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442.7463525496694</v>
      </c>
      <c r="O26" s="6" t="n">
        <v>442.7463525496694</v>
      </c>
      <c r="P26" s="6" t="n">
        <v>247.5915238791025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1.236359463298728</v>
      </c>
      <c r="O28" s="6" t="n">
        <v>1.236359463298728</v>
      </c>
      <c r="P28" s="6" t="n">
        <v>96.37741578052908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0.650151273065451</v>
      </c>
      <c r="O29" s="6" t="n">
        <v>0.650151273065451</v>
      </c>
      <c r="P29" s="6" t="n">
        <v>-0.650151273065451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0.2285812446315275</v>
      </c>
      <c r="O30" s="6" t="n">
        <v>0.2285812446315275</v>
      </c>
      <c r="P30" s="6" t="n">
        <v>0.08218744407401721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0.05016893758973168</v>
      </c>
      <c r="O31" s="6" t="n">
        <v>0.05016893758973168</v>
      </c>
      <c r="P31" s="6" t="n">
        <v>-0.04998494095681579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0.02293757293175926</v>
      </c>
      <c r="O32" s="6" t="n">
        <v>0.02293757293175926</v>
      </c>
      <c r="P32" s="6" t="n">
        <v>-8.685552572931758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0.01354191430941868</v>
      </c>
      <c r="O33" s="6" t="n">
        <v>0.01354191430941868</v>
      </c>
      <c r="P33" s="6" t="n">
        <v>-0.001974914309418679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0.0003553423736662512</v>
      </c>
      <c r="O34" s="6" t="n">
        <v>0.0003553423736662512</v>
      </c>
      <c r="P34" s="6" t="n">
        <v>8.665762633374878e-05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0.0001327544359814321</v>
      </c>
      <c r="O35" s="6" t="n">
        <v>0.0001327544359814321</v>
      </c>
      <c r="P35" s="6" t="n">
        <v>2.624556401856786e-05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1.457186558591407e-05</v>
      </c>
      <c r="O36" s="6" t="n">
        <v>1.457186558591407e-05</v>
      </c>
      <c r="P36" s="6" t="n">
        <v>-2.57186558591407e-06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1.315985550823055e-05</v>
      </c>
      <c r="O37" s="6" t="n">
        <v>1.315985550823055e-05</v>
      </c>
      <c r="P37" s="6" t="n">
        <v>-1.196810614167855e-05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3.904609590442164e-06</v>
      </c>
      <c r="O38" s="6" t="n">
        <v>3.904609590442164e-06</v>
      </c>
      <c r="P38" s="6" t="n">
        <v>9.539040955783619e-08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2.840047374785256e-06</v>
      </c>
      <c r="O39" s="6" t="n">
        <v>2.840047374785256e-06</v>
      </c>
      <c r="P39" s="6" t="n">
        <v>-2.840047374785256e-06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4.66530139711e-07</v>
      </c>
      <c r="I40" s="6" t="n">
        <v>0</v>
      </c>
      <c r="J40" s="6" t="n">
        <v>4.66530139711e-07</v>
      </c>
      <c r="K40" s="6" t="n">
        <v>0</v>
      </c>
      <c r="L40" s="6" t="n">
        <v>0.000521673271312833</v>
      </c>
      <c r="M40" s="7" t="n">
        <v>1</v>
      </c>
      <c r="N40" s="6" t="n">
        <v>1.194680620671803e-06</v>
      </c>
      <c r="O40" s="6" t="n">
        <v>1.194680620671803e-06</v>
      </c>
      <c r="P40" s="6" t="n">
        <v>-7.281504809608034e-07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1.715194822046709e-07</v>
      </c>
      <c r="O41" s="6" t="n">
        <v>1.715194822046709e-07</v>
      </c>
      <c r="P41" s="6" t="n">
        <v>-1.715194822046709e-07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(tbill_3m), period avg</t>
        </is>
      </c>
      <c r="B9" s="7" t="n">
        <v>0.0381</v>
      </c>
    </row>
    <row r="10">
      <c r="A10" t="inlineStr">
        <is>
          <t>Subsidised rate (BR*), period avg</t>
        </is>
      </c>
      <c r="B10" s="7" t="n">
        <v>0.03831000088868387</v>
      </c>
    </row>
    <row r="11">
      <c r="A11" s="8" t="inlineStr">
        <is>
          <t>Effective blended rate charged</t>
        </is>
      </c>
      <c r="B11" s="10" t="n">
        <v>0.03883709630935921</v>
      </c>
    </row>
    <row r="12">
      <c r="A12" s="8" t="inlineStr">
        <is>
          <t>Diff vs base rate (bps)</t>
        </is>
      </c>
      <c r="B12" s="11" t="n">
        <v>-2.709079563233819</v>
      </c>
    </row>
    <row r="13">
      <c r="A13" s="8" t="inlineStr">
        <is>
          <t>Subsidy benefit to prime (USD)</t>
        </is>
      </c>
      <c r="B13" s="12" t="n">
        <v>63153.86653210641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9225287.851736117</v>
      </c>
    </row>
    <row r="17">
      <c r="A17" s="8" t="inlineStr">
        <is>
          <t xml:space="preserve">  = subsidy benefit</t>
        </is>
      </c>
      <c r="B17" s="12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3090106.928915537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9054205.487267924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9075246.988098558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11790351.17991679</v>
      </c>
    </row>
    <row r="31">
      <c r="A31" t="inlineStr">
        <is>
          <t xml:space="preserve">    ↳ actual CoF on Net_Subs (BR × utilized)</t>
        </is>
      </c>
      <c r="B31" s="3" t="n">
        <v>9054205.487267924</v>
      </c>
    </row>
    <row r="32">
      <c r="A32" t="inlineStr">
        <is>
          <t xml:space="preserve">    ↳ reduction from idle/SDE deductions</t>
        </is>
      </c>
      <c r="B32" s="3" t="n">
        <v>-2736145.692648868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171082.3644681933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0.0378</v>
      </c>
      <c r="M6" s="7" t="n">
        <v>0.03807250088868387</v>
      </c>
      <c r="N6" s="3" t="n">
        <v>332216.9641822214</v>
      </c>
      <c r="O6" s="3" t="n">
        <v>425433.9582668049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0.0377</v>
      </c>
      <c r="M7" s="7" t="n">
        <v>0.03799333422201721</v>
      </c>
      <c r="N7" s="3" t="n">
        <v>335515.3748822335</v>
      </c>
      <c r="O7" s="3" t="n">
        <v>430588.0680321992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0.0378</v>
      </c>
      <c r="M8" s="7" t="n">
        <v>0.03807250088868387</v>
      </c>
      <c r="N8" s="3" t="n">
        <v>335065.4896588066</v>
      </c>
      <c r="O8" s="3" t="n">
        <v>429834.173678943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0.0378</v>
      </c>
      <c r="M9" s="7" t="n">
        <v>0.03807250088868387</v>
      </c>
      <c r="N9" s="3" t="n">
        <v>329393.2853526921</v>
      </c>
      <c r="O9" s="3" t="n">
        <v>420609.2671465119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0.0378</v>
      </c>
      <c r="M10" s="7" t="n">
        <v>0.03807250088868387</v>
      </c>
      <c r="N10" s="3" t="n">
        <v>322751.4626277998</v>
      </c>
      <c r="O10" s="3" t="n">
        <v>403087.5532993731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0.0378</v>
      </c>
      <c r="M11" s="7" t="n">
        <v>0.03807250088868387</v>
      </c>
      <c r="N11" s="3" t="n">
        <v>323389.2389220453</v>
      </c>
      <c r="O11" s="3" t="n">
        <v>407154.8427349417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0.0378</v>
      </c>
      <c r="M12" s="7" t="n">
        <v>0.03807250088868387</v>
      </c>
      <c r="N12" s="3" t="n">
        <v>325841.8410263725</v>
      </c>
      <c r="O12" s="3" t="n">
        <v>411782.3518007405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0.038</v>
      </c>
      <c r="M13" s="7" t="n">
        <v>0.03823083422201721</v>
      </c>
      <c r="N13" s="3" t="n">
        <v>320013.1016180831</v>
      </c>
      <c r="O13" s="3" t="n">
        <v>409304.0719372209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0.0379</v>
      </c>
      <c r="M14" s="7" t="n">
        <v>0.03815166755535054</v>
      </c>
      <c r="N14" s="3" t="n">
        <v>317834.1303211373</v>
      </c>
      <c r="O14" s="3" t="n">
        <v>406446.3261341003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0.0379</v>
      </c>
      <c r="M15" s="7" t="n">
        <v>0.03815166755535054</v>
      </c>
      <c r="N15" s="3" t="n">
        <v>316763.1377641822</v>
      </c>
      <c r="O15" s="3" t="n">
        <v>405841.8653905716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0.0378</v>
      </c>
      <c r="M16" s="7" t="n">
        <v>0.03807250088868387</v>
      </c>
      <c r="N16" s="3" t="n">
        <v>315907.7645221049</v>
      </c>
      <c r="O16" s="3" t="n">
        <v>404523.9031277228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0.0378</v>
      </c>
      <c r="M17" s="7" t="n">
        <v>0.03807250088868387</v>
      </c>
      <c r="N17" s="3" t="n">
        <v>319558.7122369504</v>
      </c>
      <c r="O17" s="3" t="n">
        <v>406842.0022293216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0.0378</v>
      </c>
      <c r="M18" s="7" t="n">
        <v>0.03807250088868387</v>
      </c>
      <c r="N18" s="3" t="n">
        <v>313577.4860457859</v>
      </c>
      <c r="O18" s="3" t="n">
        <v>400489.3307295096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0.0378</v>
      </c>
      <c r="M19" s="7" t="n">
        <v>0.03807250088868387</v>
      </c>
      <c r="N19" s="3" t="n">
        <v>314599.7205365335</v>
      </c>
      <c r="O19" s="3" t="n">
        <v>401100.4654462736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0.0379</v>
      </c>
      <c r="M20" s="7" t="n">
        <v>0.03815166755535054</v>
      </c>
      <c r="N20" s="3" t="n">
        <v>315926.0497723278</v>
      </c>
      <c r="O20" s="3" t="n">
        <v>403573.5341132453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0.0379</v>
      </c>
      <c r="M21" s="7" t="n">
        <v>0.03815166755535054</v>
      </c>
      <c r="N21" s="3" t="n">
        <v>287288.6747512537</v>
      </c>
      <c r="O21" s="3" t="n">
        <v>374955.1392312443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0.0383</v>
      </c>
      <c r="M22" s="7" t="n">
        <v>0.0384683342220172</v>
      </c>
      <c r="N22" s="3" t="n">
        <v>287658.915191066</v>
      </c>
      <c r="O22" s="3" t="n">
        <v>376650.5013859501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0.0383</v>
      </c>
      <c r="M23" s="7" t="n">
        <v>0.0384683342220172</v>
      </c>
      <c r="N23" s="3" t="n">
        <v>285068.9989912522</v>
      </c>
      <c r="O23" s="3" t="n">
        <v>373258.4002760279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0.0383</v>
      </c>
      <c r="M24" s="7" t="n">
        <v>0.0384683342220172</v>
      </c>
      <c r="N24" s="3" t="n">
        <v>284931.8584873506</v>
      </c>
      <c r="O24" s="3" t="n">
        <v>372918.634642558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0.0383</v>
      </c>
      <c r="M25" s="7" t="n">
        <v>0.0384683342220172</v>
      </c>
      <c r="N25" s="3" t="n">
        <v>297422.7060859893</v>
      </c>
      <c r="O25" s="3" t="n">
        <v>374939.1809647587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0.0383</v>
      </c>
      <c r="M26" s="7" t="n">
        <v>0.0384683342220172</v>
      </c>
      <c r="N26" s="3" t="n">
        <v>297131.8945123657</v>
      </c>
      <c r="O26" s="3" t="n">
        <v>374598.8315564164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0.0385</v>
      </c>
      <c r="M27" s="7" t="n">
        <v>0.03862666755535054</v>
      </c>
      <c r="N27" s="3" t="n">
        <v>297502.0380628955</v>
      </c>
      <c r="O27" s="3" t="n">
        <v>373374.436278404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0.0385</v>
      </c>
      <c r="M28" s="7" t="n">
        <v>0.03862666755535054</v>
      </c>
      <c r="N28" s="3" t="n">
        <v>297138.5780364425</v>
      </c>
      <c r="O28" s="3" t="n">
        <v>372367.0470202919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0.0385</v>
      </c>
      <c r="M29" s="7" t="n">
        <v>0.03862666755535054</v>
      </c>
      <c r="N29" s="3" t="n">
        <v>293822.8688674631</v>
      </c>
      <c r="O29" s="3" t="n">
        <v>369630.016398093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0.0384</v>
      </c>
      <c r="M30" s="7" t="n">
        <v>0.03854750088868387</v>
      </c>
      <c r="N30" s="3" t="n">
        <v>295094.5855362514</v>
      </c>
      <c r="O30" s="3" t="n">
        <v>376647.9380003725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0.0383</v>
      </c>
      <c r="M31" s="7" t="n">
        <v>0.0384683342220172</v>
      </c>
      <c r="N31" s="3" t="n">
        <v>296177.3275713244</v>
      </c>
      <c r="O31" s="3" t="n">
        <v>378631.8678127691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0.0383</v>
      </c>
      <c r="M32" s="7" t="n">
        <v>0.0384683342220172</v>
      </c>
      <c r="N32" s="3" t="n">
        <v>294756.6580930781</v>
      </c>
      <c r="O32" s="3" t="n">
        <v>376969.4893143523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0.0383</v>
      </c>
      <c r="M33" s="7" t="n">
        <v>0.0384683342220172</v>
      </c>
      <c r="N33" s="3" t="n">
        <v>294757.0176235051</v>
      </c>
      <c r="O33" s="3" t="n">
        <v>376940.4234585383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0.0387</v>
      </c>
      <c r="M34" s="7" t="n">
        <v>0.03878500088868388</v>
      </c>
      <c r="N34" s="3" t="n">
        <v>294087.6133054312</v>
      </c>
      <c r="O34" s="3" t="n">
        <v>375552.3690651191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0.0387</v>
      </c>
      <c r="M35" s="7" t="n">
        <v>0.03878500088868388</v>
      </c>
      <c r="N35" s="3" t="n">
        <v>284094.3571511732</v>
      </c>
      <c r="O35" s="3" t="n">
        <v>376305.1904444174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9225287.851736117</v>
      </c>
      <c r="O37" s="12" t="n">
        <v>11790351.17991679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2026-07-31T00:23:58Z</dcterms:created>
  <dcterms:modified xsi:type="dcterms:W3CDTF">2026-07-31T00:23:58Z</dcterms:modified>
</cp:coreProperties>
</file>