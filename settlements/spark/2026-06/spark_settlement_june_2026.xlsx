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nues" sheetId="2" state="visible" r:id="rId2"/>
    <sheet name="Sky Revenue" sheetId="3" state="visible" r:id="rId3"/>
    <sheet name="Sky Direct" sheetId="4" state="visible" r:id="rId4"/>
    <sheet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;&quot;−$&quot;#,##0.00;&quot;$&quot;0.00"/>
    <numFmt numFmtId="165" formatCode="&quot;$&quot;#,##0;&quot;−$&quot;#,##0;&quot;$&quot;0"/>
    <numFmt numFmtId="166" formatCode="0.000%"/>
    <numFmt numFmtId="167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4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SPARK — Monthly settlement 2026-06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11279641.55178227</v>
      </c>
    </row>
    <row r="5">
      <c r="A5" t="inlineStr">
        <is>
          <t>+ agent_rate (subproxy USDS / sUSDS yield)</t>
        </is>
      </c>
      <c r="B5" s="3" t="n">
        <v>114862.809962623</v>
      </c>
    </row>
    <row r="6">
      <c r="A6" t="inlineStr">
        <is>
          <t>+ distribution_rewards (settle-dr-dune)</t>
        </is>
      </c>
      <c r="B6" s="3" t="n">
        <v>1650764.59</v>
      </c>
    </row>
    <row r="7">
      <c r="A7" t="inlineStr"/>
      <c r="B7" s="4" t="n">
        <v>13045268.95174489</v>
      </c>
    </row>
    <row r="9">
      <c r="A9" s="2" t="inlineStr">
        <is>
          <t>Sky side</t>
        </is>
      </c>
      <c r="B9" s="2" t="inlineStr">
        <is>
          <t>USD</t>
        </is>
      </c>
    </row>
    <row r="10">
      <c r="A10" t="inlineStr">
        <is>
          <t>CoF on utilized (BR × Net_Subs)</t>
        </is>
      </c>
      <c r="B10" s="3" t="n">
        <v>9053787.675606435</v>
      </c>
    </row>
    <row r="11">
      <c r="A11" t="inlineStr">
        <is>
          <t>+ SDE revenue (Sky-Direct, full to Sky)</t>
        </is>
      </c>
      <c r="B11" s="3" t="n">
        <v>21041.50083063317</v>
      </c>
    </row>
    <row r="12">
      <c r="A12" t="inlineStr"/>
      <c r="B12" s="4" t="n">
        <v>9074829.176437067</v>
      </c>
    </row>
    <row r="14">
      <c r="A14" s="2" t="inlineStr">
        <is>
          <t>Sky Revenue (max) — BR × full ilk debt, no deductions</t>
        </is>
      </c>
      <c r="B14" s="2" t="inlineStr">
        <is>
          <t>USD</t>
        </is>
      </c>
    </row>
    <row r="15">
      <c r="A15" t="inlineStr">
        <is>
          <t>CoF on Net_Subs (actual BR × utilized)</t>
        </is>
      </c>
      <c r="B15" s="3" t="n">
        <v>9053787.675606435</v>
      </c>
    </row>
    <row r="16">
      <c r="A16" t="inlineStr">
        <is>
          <t>reduction from idle/SDE deductions</t>
        </is>
      </c>
      <c r="B16" s="3" t="n">
        <v>-2736145.692648868</v>
      </c>
    </row>
    <row r="17">
      <c r="A17" t="inlineStr"/>
      <c r="B17" s="4" t="n">
        <v>11789933.3682553</v>
      </c>
    </row>
    <row r="19">
      <c r="A19" s="5" t="inlineStr">
        <is>
          <t>sUSDS spread (Curve LP + PSM3) — deducted from sky_revenue</t>
        </is>
      </c>
      <c r="B19" s="3" t="n">
        <v>171082.3644681933</v>
      </c>
    </row>
    <row r="21">
      <c r="A21" s="2" t="inlineStr">
        <is>
          <t>Comparison (Grove-style "Profit to Grove")</t>
        </is>
      </c>
      <c r="B21" s="2" t="inlineStr">
        <is>
          <t>USD</t>
        </is>
      </c>
    </row>
    <row r="22">
      <c r="A22" t="inlineStr">
        <is>
          <t>prime_agent_revenue</t>
        </is>
      </c>
      <c r="B22" s="3" t="n">
        <v>11279641.55178227</v>
      </c>
    </row>
    <row r="23">
      <c r="A23" t="inlineStr">
        <is>
          <t>− CoF (deducted per-venue in display)</t>
        </is>
      </c>
      <c r="B23" s="3" t="n">
        <v>-9053787.675606435</v>
      </c>
    </row>
    <row r="24">
      <c r="A24" t="inlineStr"/>
      <c r="B24" s="4" t="n">
        <v>1244366.226957858</v>
      </c>
    </row>
    <row r="26">
      <c r="A26" t="inlineStr">
        <is>
          <t>Period</t>
        </is>
      </c>
      <c r="B26" t="inlineStr">
        <is>
          <t>2026-06-01 → 2026-06-30 (30 days)</t>
        </is>
      </c>
    </row>
    <row r="27">
      <c r="A27" t="inlineStr">
        <is>
          <t>Pin blocks</t>
        </is>
      </c>
      <c r="B27" t="inlineStr">
        <is>
          <t>arbitrum=479089705, avalanche_c=89166730, base=48037326, ethereum=25433938, optimism=153632611, unichain=52115640</t>
        </is>
      </c>
    </row>
    <row r="28">
      <c r="A28" t="inlineStr">
        <is>
          <t>Generated</t>
        </is>
      </c>
      <c r="B28" t="inlineStr">
        <is>
          <t>2026-07-30T23:27:03+00:00</t>
        </is>
      </c>
    </row>
    <row r="29">
      <c r="A29" t="inlineStr">
        <is>
          <t>Pipeline</t>
        </is>
      </c>
      <c r="B29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S32</t>
        </is>
      </c>
      <c r="B2" t="inlineStr">
        <is>
          <t>sUSDS raw / POL (ALM — Cat B 4626, demand-side spread)</t>
        </is>
      </c>
      <c r="C2" t="inlineStr">
        <is>
          <t>ethereum</t>
        </is>
      </c>
      <c r="D2" t="inlineStr">
        <is>
          <t>B</t>
        </is>
      </c>
      <c r="E2" s="6" t="n">
        <v>1577554266.459592</v>
      </c>
      <c r="F2" s="6" t="n">
        <v>1177825995.292049</v>
      </c>
      <c r="G2" s="6" t="n">
        <v>-399728271.1675428</v>
      </c>
      <c r="H2" s="6" t="n">
        <v>3026673.571263072</v>
      </c>
      <c r="I2" s="6" t="n">
        <v>0</v>
      </c>
      <c r="J2" s="6" t="n">
        <v>3026673.571263072</v>
      </c>
      <c r="K2" s="6" t="n">
        <v>0</v>
      </c>
      <c r="L2" s="6" t="n">
        <v>1334080836.056432</v>
      </c>
      <c r="M2" s="7" t="n">
        <v>1</v>
      </c>
      <c r="N2" s="6" t="n">
        <v>3055031.618335935</v>
      </c>
      <c r="O2" s="6" t="n">
        <v>3055031.618335935</v>
      </c>
      <c r="P2" s="6" t="n">
        <v>-28358.04707286318</v>
      </c>
      <c r="Q2" s="6" t="n">
        <v>0</v>
      </c>
      <c r="R2" s="6" t="n">
        <v>0</v>
      </c>
      <c r="S2" t="inlineStr"/>
    </row>
    <row r="3">
      <c r="A3" t="inlineStr">
        <is>
          <t>S27</t>
        </is>
      </c>
      <c r="B3" t="inlineStr">
        <is>
          <t>USDT raw (ALM idle — $442M as of 2026-04)</t>
        </is>
      </c>
      <c r="C3" t="inlineStr">
        <is>
          <t>ethereum</t>
        </is>
      </c>
      <c r="D3" t="inlineStr">
        <is>
          <t>A</t>
        </is>
      </c>
      <c r="E3" s="6" t="n">
        <v>608678684.51526</v>
      </c>
      <c r="F3" s="6" t="n">
        <v>206394227.300838</v>
      </c>
      <c r="G3" s="6" t="n">
        <v>-402284457.214422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595269202.6081126</v>
      </c>
      <c r="M3" s="7" t="n">
        <v>1</v>
      </c>
      <c r="N3" s="6" t="n">
        <v>1363160.451929674</v>
      </c>
      <c r="O3" s="6" t="n">
        <v>1363160.451929674</v>
      </c>
      <c r="P3" s="6" t="n">
        <v>-1363160.451929674</v>
      </c>
      <c r="Q3" s="6" t="n">
        <v>0</v>
      </c>
      <c r="R3" s="6" t="n">
        <v>0</v>
      </c>
      <c r="S3" t="inlineStr"/>
    </row>
    <row r="4">
      <c r="A4" t="inlineStr">
        <is>
          <t>S3</t>
        </is>
      </c>
      <c r="B4" t="inlineStr">
        <is>
          <t>Spark USDT (SparkLend spToken)</t>
        </is>
      </c>
      <c r="C4" t="inlineStr">
        <is>
          <t>ethereum</t>
        </is>
      </c>
      <c r="D4" t="inlineStr">
        <is>
          <t>C</t>
        </is>
      </c>
      <c r="E4" s="6" t="n">
        <v>495837665.420656</v>
      </c>
      <c r="F4" s="6" t="n">
        <v>527947034.437084</v>
      </c>
      <c r="G4" s="6" t="n">
        <v>32109369.016428</v>
      </c>
      <c r="H4" s="6" t="n">
        <v>1098488.169146</v>
      </c>
      <c r="I4" s="6" t="n">
        <v>0</v>
      </c>
      <c r="J4" s="6" t="n">
        <v>1098488.169146</v>
      </c>
      <c r="K4" s="6" t="n">
        <v>0</v>
      </c>
      <c r="L4" s="6" t="n">
        <v>496871361.4488987</v>
      </c>
      <c r="M4" s="7" t="n">
        <v>1</v>
      </c>
      <c r="N4" s="6" t="n">
        <v>1137830.391117168</v>
      </c>
      <c r="O4" s="6" t="n">
        <v>1137830.391117168</v>
      </c>
      <c r="P4" s="6" t="n">
        <v>-39342.22197116799</v>
      </c>
      <c r="Q4" s="6" t="n">
        <v>0</v>
      </c>
      <c r="R4" s="6" t="n">
        <v>0</v>
      </c>
      <c r="S4" t="inlineStr"/>
    </row>
    <row r="5">
      <c r="A5" t="inlineStr">
        <is>
          <t>S1</t>
        </is>
      </c>
      <c r="B5" t="inlineStr">
        <is>
          <t>Spark USDS (SparkLend spToken)</t>
        </is>
      </c>
      <c r="C5" t="inlineStr">
        <is>
          <t>ethereum</t>
        </is>
      </c>
      <c r="D5" t="inlineStr">
        <is>
          <t>C</t>
        </is>
      </c>
      <c r="E5" s="6" t="n">
        <v>550178045.362034</v>
      </c>
      <c r="F5" s="6" t="n">
        <v>488789298.208332</v>
      </c>
      <c r="G5" s="6" t="n">
        <v>-61388747.15370198</v>
      </c>
      <c r="H5" s="6" t="n">
        <v>996446.4198392286</v>
      </c>
      <c r="I5" s="6" t="n">
        <v>0</v>
      </c>
      <c r="J5" s="6" t="n">
        <v>996446.4198392286</v>
      </c>
      <c r="K5" s="6" t="n">
        <v>0</v>
      </c>
      <c r="L5" s="6" t="n">
        <v>391180692.315285</v>
      </c>
      <c r="M5" s="7" t="n">
        <v>1</v>
      </c>
      <c r="N5" s="6" t="n">
        <v>895799.8280212046</v>
      </c>
      <c r="O5" s="6" t="n">
        <v>895799.8280212046</v>
      </c>
      <c r="P5" s="6" t="n">
        <v>100646.591818024</v>
      </c>
      <c r="Q5" s="6" t="n">
        <v>156917846.5942976</v>
      </c>
      <c r="R5" s="6" t="n">
        <v>0</v>
      </c>
      <c r="S5" t="inlineStr">
        <is>
          <t>(avg excl. lending_idle)</t>
        </is>
      </c>
    </row>
    <row r="6">
      <c r="A6" t="inlineStr">
        <is>
          <t>S28</t>
        </is>
      </c>
      <c r="B6" t="inlineStr">
        <is>
          <t>PYUSD raw (ALM idle — $677M as of 2026-04)</t>
        </is>
      </c>
      <c r="C6" t="inlineStr">
        <is>
          <t>ethereum</t>
        </is>
      </c>
      <c r="D6" t="inlineStr">
        <is>
          <t>A</t>
        </is>
      </c>
      <c r="E6" s="6" t="n">
        <v>262428227.923162</v>
      </c>
      <c r="F6" s="6" t="n">
        <v>236220244.556614</v>
      </c>
      <c r="G6" s="6" t="n">
        <v>-26207983.366548</v>
      </c>
      <c r="H6" s="6" t="n">
        <v>1564645.000000004</v>
      </c>
      <c r="I6" s="6" t="n">
        <v>0</v>
      </c>
      <c r="J6" s="6" t="n">
        <v>1564645.000000004</v>
      </c>
      <c r="K6" s="6" t="n">
        <v>0</v>
      </c>
      <c r="L6" s="6" t="n">
        <v>256121666.0569609</v>
      </c>
      <c r="M6" s="7" t="n">
        <v>1</v>
      </c>
      <c r="N6" s="6" t="n">
        <v>586516.0242147387</v>
      </c>
      <c r="O6" s="6" t="n">
        <v>586516.0242147387</v>
      </c>
      <c r="P6" s="6" t="n">
        <v>978128.9757852652</v>
      </c>
      <c r="Q6" s="6" t="n">
        <v>0</v>
      </c>
      <c r="R6" s="6" t="n">
        <v>0</v>
      </c>
      <c r="S6" t="inlineStr"/>
    </row>
    <row r="7">
      <c r="A7" t="inlineStr">
        <is>
          <t>S4</t>
        </is>
      </c>
      <c r="B7" t="inlineStr">
        <is>
          <t>Spark DAI (SparkLend spToken)</t>
        </is>
      </c>
      <c r="C7" t="inlineStr">
        <is>
          <t>ethereum</t>
        </is>
      </c>
      <c r="D7" t="inlineStr">
        <is>
          <t>C</t>
        </is>
      </c>
      <c r="E7" s="6" t="n">
        <v>266960907.7112744</v>
      </c>
      <c r="F7" s="6" t="n">
        <v>270739844.0347641</v>
      </c>
      <c r="G7" s="6" t="n">
        <v>3778936.323489693</v>
      </c>
      <c r="H7" s="6" t="n">
        <v>513803.3039856636</v>
      </c>
      <c r="I7" s="6" t="n">
        <v>0</v>
      </c>
      <c r="J7" s="6" t="n">
        <v>513803.3039856636</v>
      </c>
      <c r="K7" s="6" t="n">
        <v>0</v>
      </c>
      <c r="L7" s="6" t="n">
        <v>177076371.2052227</v>
      </c>
      <c r="M7" s="7" t="n">
        <v>1</v>
      </c>
      <c r="N7" s="6" t="n">
        <v>405503.0986662512</v>
      </c>
      <c r="O7" s="6" t="n">
        <v>405503.0986662512</v>
      </c>
      <c r="P7" s="6" t="n">
        <v>108300.2053194124</v>
      </c>
      <c r="Q7" s="6" t="n">
        <v>89993374.27336854</v>
      </c>
      <c r="R7" s="6" t="n">
        <v>0</v>
      </c>
      <c r="S7" t="inlineStr">
        <is>
          <t>(avg excl. lending_idle)</t>
        </is>
      </c>
    </row>
    <row r="8">
      <c r="A8" t="inlineStr">
        <is>
          <t>S43</t>
        </is>
      </c>
      <c r="B8" t="inlineStr">
        <is>
          <t>Savings USDS / sUSDS proxy (Arbitrum — POL)</t>
        </is>
      </c>
      <c r="C8" t="inlineStr">
        <is>
          <t>arbitrum</t>
        </is>
      </c>
      <c r="D8" t="inlineStr">
        <is>
          <t>B</t>
        </is>
      </c>
      <c r="E8" s="6" t="n">
        <v>143764611.5800855</v>
      </c>
      <c r="F8" s="6" t="n">
        <v>144183127.2756985</v>
      </c>
      <c r="G8" s="6" t="n">
        <v>418515.6956130954</v>
      </c>
      <c r="H8" s="6" t="n">
        <v>418515.6956130954</v>
      </c>
      <c r="I8" s="6" t="n">
        <v>0</v>
      </c>
      <c r="J8" s="6" t="n">
        <v>418515.6956130954</v>
      </c>
      <c r="K8" s="6" t="n">
        <v>0</v>
      </c>
      <c r="L8" s="6" t="n">
        <v>143764611.5800855</v>
      </c>
      <c r="M8" s="7" t="n">
        <v>1</v>
      </c>
      <c r="N8" s="6" t="n">
        <v>329219.5061232159</v>
      </c>
      <c r="O8" s="6" t="n">
        <v>293823.6196486157</v>
      </c>
      <c r="P8" s="6" t="n">
        <v>89296.18948987943</v>
      </c>
      <c r="Q8" s="6" t="n">
        <v>0</v>
      </c>
      <c r="R8" s="6" t="n">
        <v>35395.88647460032</v>
      </c>
      <c r="S8" t="inlineStr"/>
    </row>
    <row r="9">
      <c r="A9" t="inlineStr">
        <is>
          <t>S47</t>
        </is>
      </c>
      <c r="B9" t="inlineStr">
        <is>
          <t>Savings USDS / sUSDS proxy (Optimism — POL)</t>
        </is>
      </c>
      <c r="C9" t="inlineStr">
        <is>
          <t>optimism</t>
        </is>
      </c>
      <c r="D9" t="inlineStr">
        <is>
          <t>B</t>
        </is>
      </c>
      <c r="E9" s="6" t="n">
        <v>102351428.4607548</v>
      </c>
      <c r="F9" s="6" t="n">
        <v>201095497.4250933</v>
      </c>
      <c r="G9" s="6" t="n">
        <v>98744068.96433853</v>
      </c>
      <c r="H9" s="6" t="n">
        <v>393303.6054492357</v>
      </c>
      <c r="I9" s="6" t="n">
        <v>0</v>
      </c>
      <c r="J9" s="6" t="n">
        <v>393303.6054492357</v>
      </c>
      <c r="K9" s="6" t="n">
        <v>0</v>
      </c>
      <c r="L9" s="6" t="n">
        <v>138414109.5363883</v>
      </c>
      <c r="M9" s="7" t="n">
        <v>1</v>
      </c>
      <c r="N9" s="6" t="n">
        <v>316966.9105715215</v>
      </c>
      <c r="O9" s="6" t="n">
        <v>282888.3563725022</v>
      </c>
      <c r="P9" s="6" t="n">
        <v>76336.69487771421</v>
      </c>
      <c r="Q9" s="6" t="n">
        <v>0</v>
      </c>
      <c r="R9" s="6" t="n">
        <v>34078.55419901927</v>
      </c>
      <c r="S9" t="inlineStr"/>
    </row>
    <row r="10">
      <c r="A10" t="inlineStr">
        <is>
          <t>S37</t>
        </is>
      </c>
      <c r="B10" t="inlineStr">
        <is>
          <t>Savings USDS / sUSDS proxy (Base — POL)</t>
        </is>
      </c>
      <c r="C10" t="inlineStr">
        <is>
          <t>base</t>
        </is>
      </c>
      <c r="D10" t="inlineStr">
        <is>
          <t>B</t>
        </is>
      </c>
      <c r="E10" s="6" t="n">
        <v>76003428.29531698</v>
      </c>
      <c r="F10" s="6" t="n">
        <v>211445951.3696985</v>
      </c>
      <c r="G10" s="6" t="n">
        <v>135442523.0743815</v>
      </c>
      <c r="H10" s="6" t="n">
        <v>352217.9792907777</v>
      </c>
      <c r="I10" s="6" t="n">
        <v>0</v>
      </c>
      <c r="J10" s="6" t="n">
        <v>352217.9792907777</v>
      </c>
      <c r="K10" s="6" t="n">
        <v>0</v>
      </c>
      <c r="L10" s="6" t="n">
        <v>125537273.940891</v>
      </c>
      <c r="M10" s="7" t="n">
        <v>1</v>
      </c>
      <c r="N10" s="6" t="n">
        <v>287479.0873263837</v>
      </c>
      <c r="O10" s="6" t="n">
        <v>256570.9031223226</v>
      </c>
      <c r="P10" s="6" t="n">
        <v>64738.89196439401</v>
      </c>
      <c r="Q10" s="6" t="n">
        <v>0</v>
      </c>
      <c r="R10" s="6" t="n">
        <v>30908.18420406113</v>
      </c>
      <c r="S10" t="inlineStr"/>
    </row>
    <row r="11">
      <c r="A11" t="inlineStr">
        <is>
          <t>S14</t>
        </is>
      </c>
      <c r="B11" t="inlineStr">
        <is>
          <t>Maple syrupUSDC (ERC-4626)</t>
        </is>
      </c>
      <c r="C11" t="inlineStr">
        <is>
          <t>ethereum</t>
        </is>
      </c>
      <c r="D11" t="inlineStr">
        <is>
          <t>B</t>
        </is>
      </c>
      <c r="E11" s="6" t="n">
        <v>105300451.2530954</v>
      </c>
      <c r="F11" s="6" t="n">
        <v>105302337.3270576</v>
      </c>
      <c r="G11" s="6" t="n">
        <v>1886.073962207464</v>
      </c>
      <c r="H11" s="6" t="n">
        <v>415094.1831873134</v>
      </c>
      <c r="I11" s="6" t="n">
        <v>0</v>
      </c>
      <c r="J11" s="6" t="n">
        <v>415094.1831873134</v>
      </c>
      <c r="K11" s="6" t="n">
        <v>0</v>
      </c>
      <c r="L11" s="6" t="n">
        <v>105093656.2214499</v>
      </c>
      <c r="M11" s="7" t="n">
        <v>1</v>
      </c>
      <c r="N11" s="6" t="n">
        <v>240663.4095667912</v>
      </c>
      <c r="O11" s="6" t="n">
        <v>240663.4095667912</v>
      </c>
      <c r="P11" s="6" t="n">
        <v>174430.7736205222</v>
      </c>
      <c r="Q11" s="6" t="n">
        <v>0</v>
      </c>
      <c r="R11" s="6" t="n">
        <v>0</v>
      </c>
      <c r="S11" t="inlineStr"/>
    </row>
    <row r="12">
      <c r="A12" t="inlineStr">
        <is>
          <t>S5</t>
        </is>
      </c>
      <c r="B12" t="inlineStr">
        <is>
          <t>Spark PYUSD (SparkLend spToken)</t>
        </is>
      </c>
      <c r="C12" t="inlineStr">
        <is>
          <t>ethereum</t>
        </is>
      </c>
      <c r="D12" t="inlineStr">
        <is>
          <t>C</t>
        </is>
      </c>
      <c r="E12" s="6" t="n">
        <v>100000628.579333</v>
      </c>
      <c r="F12" s="6" t="n">
        <v>100000825.454374</v>
      </c>
      <c r="G12" s="6" t="n">
        <v>196.875041</v>
      </c>
      <c r="H12" s="6" t="n">
        <v>26767.338947</v>
      </c>
      <c r="I12" s="6" t="n">
        <v>0</v>
      </c>
      <c r="J12" s="6" t="n">
        <v>26767.338947</v>
      </c>
      <c r="K12" s="6" t="n">
        <v>0</v>
      </c>
      <c r="L12" s="6" t="n">
        <v>99999742.8972028</v>
      </c>
      <c r="M12" s="7" t="n">
        <v>1</v>
      </c>
      <c r="N12" s="6" t="n">
        <v>228998.3995868569</v>
      </c>
      <c r="O12" s="6" t="n">
        <v>228998.3995868569</v>
      </c>
      <c r="P12" s="6" t="n">
        <v>-202231.0606398569</v>
      </c>
      <c r="Q12" s="6" t="n">
        <v>0</v>
      </c>
      <c r="R12" s="6" t="n">
        <v>0</v>
      </c>
      <c r="S12" t="inlineStr"/>
    </row>
    <row r="13">
      <c r="A13" t="inlineStr">
        <is>
          <t>S25</t>
        </is>
      </c>
      <c r="B13" t="inlineStr">
        <is>
          <t>Spark.fi PYUSD Reserve Curve (PYUSD/USDS)</t>
        </is>
      </c>
      <c r="C13" t="inlineStr">
        <is>
          <t>ethereum</t>
        </is>
      </c>
      <c r="D13" t="inlineStr">
        <is>
          <t>F</t>
        </is>
      </c>
      <c r="E13" s="6" t="n">
        <v>99999260.90933624</v>
      </c>
      <c r="F13" s="6" t="n">
        <v>3.882492536172616</v>
      </c>
      <c r="G13" s="6" t="n">
        <v>-99999257.0268437</v>
      </c>
      <c r="H13" s="6" t="n">
        <v>30126.14452033222</v>
      </c>
      <c r="I13" s="6" t="n">
        <v>0</v>
      </c>
      <c r="J13" s="6" t="n">
        <v>30126.14452033222</v>
      </c>
      <c r="K13" s="6" t="n">
        <v>0</v>
      </c>
      <c r="L13" s="6" t="n">
        <v>96664948.13695744</v>
      </c>
      <c r="M13" s="7" t="n">
        <v>1</v>
      </c>
      <c r="N13" s="6" t="n">
        <v>221361.7533223575</v>
      </c>
      <c r="O13" s="6" t="n">
        <v>221361.7533223575</v>
      </c>
      <c r="P13" s="6" t="n">
        <v>-191235.6088020253</v>
      </c>
      <c r="Q13" s="6" t="n">
        <v>0</v>
      </c>
      <c r="R13" s="6" t="n">
        <v>0</v>
      </c>
      <c r="S13" t="inlineStr"/>
    </row>
    <row r="14">
      <c r="A14" t="inlineStr">
        <is>
          <t>SPREAD</t>
        </is>
      </c>
      <c r="B14" t="inlineStr">
        <is>
          <t>30bps sUSDS spread (Curve LP + PSM3) — Sky Revenue reduction</t>
        </is>
      </c>
      <c r="C14" t="inlineStr"/>
      <c r="D14" t="inlineStr"/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7" t="n">
        <v>0</v>
      </c>
      <c r="N14" s="6" t="n">
        <v>0</v>
      </c>
      <c r="O14" s="6" t="n">
        <v>-69608.80145092019</v>
      </c>
      <c r="P14" s="6" t="n">
        <v>0</v>
      </c>
      <c r="Q14" s="6" t="n">
        <v>0</v>
      </c>
      <c r="R14" s="6" t="n">
        <v>69608.80145092019</v>
      </c>
      <c r="S14" t="inlineStr">
        <is>
          <t>sky-revenue reduction (no CoF; computed outside venue loop)</t>
        </is>
      </c>
    </row>
    <row r="15">
      <c r="A15" t="inlineStr">
        <is>
          <t>S18</t>
        </is>
      </c>
      <c r="B15" t="inlineStr">
        <is>
          <t>Arkis Spark Prime USDC 1 (ERC-4626)</t>
        </is>
      </c>
      <c r="C15" t="inlineStr">
        <is>
          <t>ethereum</t>
        </is>
      </c>
      <c r="D15" t="inlineStr">
        <is>
          <t>B</t>
        </is>
      </c>
      <c r="E15" s="6" t="n">
        <v>15021342.65332295</v>
      </c>
      <c r="F15" s="6" t="n">
        <v>20117252.70899997</v>
      </c>
      <c r="G15" s="6" t="n">
        <v>5095910.055677023</v>
      </c>
      <c r="H15" s="6" t="n">
        <v>95647.31969021499</v>
      </c>
      <c r="I15" s="6" t="n">
        <v>0</v>
      </c>
      <c r="J15" s="6" t="n">
        <v>95647.31969021499</v>
      </c>
      <c r="K15" s="6" t="n">
        <v>0</v>
      </c>
      <c r="L15" s="6" t="n">
        <v>19688254.54024397</v>
      </c>
      <c r="M15" s="7" t="n">
        <v>1</v>
      </c>
      <c r="N15" s="6" t="n">
        <v>45085.90372086498</v>
      </c>
      <c r="O15" s="6" t="n">
        <v>45085.90372086498</v>
      </c>
      <c r="P15" s="6" t="n">
        <v>50561.41596935</v>
      </c>
      <c r="Q15" s="6" t="n">
        <v>0</v>
      </c>
      <c r="R15" s="6" t="n">
        <v>0</v>
      </c>
      <c r="S15" t="inlineStr"/>
    </row>
    <row r="16">
      <c r="A16" t="inlineStr">
        <is>
          <t>S2</t>
        </is>
      </c>
      <c r="B16" t="inlineStr">
        <is>
          <t>Spark USDC (SparkLend spToken)</t>
        </is>
      </c>
      <c r="C16" t="inlineStr">
        <is>
          <t>ethereum</t>
        </is>
      </c>
      <c r="D16" t="inlineStr">
        <is>
          <t>C</t>
        </is>
      </c>
      <c r="E16" s="6" t="n">
        <v>12183497.214187</v>
      </c>
      <c r="F16" s="6" t="n">
        <v>6740456.351987</v>
      </c>
      <c r="G16" s="6" t="n">
        <v>-5443040.8622</v>
      </c>
      <c r="H16" s="6" t="n">
        <v>37354.346376</v>
      </c>
      <c r="I16" s="6" t="n">
        <v>0</v>
      </c>
      <c r="J16" s="6" t="n">
        <v>37354.346376</v>
      </c>
      <c r="K16" s="6" t="n">
        <v>0</v>
      </c>
      <c r="L16" s="6" t="n">
        <v>12000817.37390113</v>
      </c>
      <c r="M16" s="7" t="n">
        <v>1</v>
      </c>
      <c r="N16" s="6" t="n">
        <v>27481.75037992401</v>
      </c>
      <c r="O16" s="6" t="n">
        <v>27481.75037992401</v>
      </c>
      <c r="P16" s="6" t="n">
        <v>9872.595996075994</v>
      </c>
      <c r="Q16" s="6" t="n">
        <v>0</v>
      </c>
      <c r="R16" s="6" t="n">
        <v>0</v>
      </c>
      <c r="S16" t="inlineStr"/>
    </row>
    <row r="17">
      <c r="A17" t="inlineStr">
        <is>
          <t>S11</t>
        </is>
      </c>
      <c r="B17" t="inlineStr">
        <is>
          <t>Spark Blue Chip USDT Vault (Morpho V2)</t>
        </is>
      </c>
      <c r="C17" t="inlineStr">
        <is>
          <t>ethereum</t>
        </is>
      </c>
      <c r="D17" t="inlineStr">
        <is>
          <t>B</t>
        </is>
      </c>
      <c r="E17" s="6" t="n">
        <v>71943502.10038626</v>
      </c>
      <c r="F17" s="6" t="n">
        <v>1.753936570309431</v>
      </c>
      <c r="G17" s="6" t="n">
        <v>-71943500.34644969</v>
      </c>
      <c r="H17" s="6" t="n">
        <v>44146.08796725513</v>
      </c>
      <c r="I17" s="6" t="n">
        <v>0</v>
      </c>
      <c r="J17" s="6" t="n">
        <v>44146.08796725513</v>
      </c>
      <c r="K17" s="6" t="n">
        <v>0</v>
      </c>
      <c r="L17" s="6" t="n">
        <v>11177050.57225555</v>
      </c>
      <c r="M17" s="7" t="n">
        <v>1</v>
      </c>
      <c r="N17" s="6" t="n">
        <v>25595.33273779525</v>
      </c>
      <c r="O17" s="6" t="n">
        <v>25595.33273779525</v>
      </c>
      <c r="P17" s="6" t="n">
        <v>18550.75522945988</v>
      </c>
      <c r="Q17" s="6" t="n">
        <v>0</v>
      </c>
      <c r="R17" s="6" t="n">
        <v>0</v>
      </c>
      <c r="S17" t="inlineStr"/>
    </row>
    <row r="18">
      <c r="A18" t="inlineStr">
        <is>
          <t>S24</t>
        </is>
      </c>
      <c r="B18" t="inlineStr">
        <is>
          <t>Spark.fi USDT Reserve Curve (sUSDS/USDT)</t>
        </is>
      </c>
      <c r="C18" t="inlineStr">
        <is>
          <t>ethereum</t>
        </is>
      </c>
      <c r="D18" t="inlineStr">
        <is>
          <t>F</t>
        </is>
      </c>
      <c r="E18" s="6" t="n">
        <v>48750265.64989898</v>
      </c>
      <c r="F18" s="6" t="n">
        <v>0.823120129440027</v>
      </c>
      <c r="G18" s="6" t="n">
        <v>-48750264.82677885</v>
      </c>
      <c r="H18" s="6" t="n">
        <v>19891.47439593931</v>
      </c>
      <c r="I18" s="6" t="n">
        <v>11483.07201201587</v>
      </c>
      <c r="J18" s="6" t="n">
        <v>11483.07201201587</v>
      </c>
      <c r="K18" s="6" t="n">
        <v>19891.47439593931</v>
      </c>
      <c r="L18" s="6" t="n">
        <v>47124211.00412609</v>
      </c>
      <c r="M18" s="7" t="n">
        <v>0</v>
      </c>
      <c r="N18" s="6" t="n">
        <v>0</v>
      </c>
      <c r="O18" s="6" t="n">
        <v>19891.47439593931</v>
      </c>
      <c r="P18" s="6" t="n">
        <v>11483.07201201587</v>
      </c>
      <c r="Q18" s="6" t="n">
        <v>47124211.00412609</v>
      </c>
      <c r="R18" s="6" t="n">
        <v>0</v>
      </c>
      <c r="S18" t="inlineStr">
        <is>
          <t>SDE (fixed)</t>
        </is>
      </c>
    </row>
    <row r="19">
      <c r="A19" t="inlineStr">
        <is>
          <t>S49</t>
        </is>
      </c>
      <c r="B19" t="inlineStr">
        <is>
          <t>USDC raw (Optimism — ALM idle)</t>
        </is>
      </c>
      <c r="C19" t="inlineStr">
        <is>
          <t>optimism</t>
        </is>
      </c>
      <c r="D19" t="inlineStr">
        <is>
          <t>A</t>
        </is>
      </c>
      <c r="E19" s="6" t="n">
        <v>5019997.4</v>
      </c>
      <c r="F19" s="6" t="n">
        <v>0</v>
      </c>
      <c r="G19" s="6" t="n">
        <v>-5019997.4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4852664.153333333</v>
      </c>
      <c r="M19" s="7" t="n">
        <v>1</v>
      </c>
      <c r="N19" s="6" t="n">
        <v>11112.55181914</v>
      </c>
      <c r="O19" s="6" t="n">
        <v>11112.55181914</v>
      </c>
      <c r="P19" s="6" t="n">
        <v>-11112.55181914</v>
      </c>
      <c r="Q19" s="6" t="n">
        <v>0</v>
      </c>
      <c r="R19" s="6" t="n">
        <v>0</v>
      </c>
      <c r="S19" t="inlineStr"/>
    </row>
    <row r="20">
      <c r="A20" t="inlineStr">
        <is>
          <t>S39</t>
        </is>
      </c>
      <c r="B20" t="inlineStr">
        <is>
          <t>USDC raw (Base — ALM idle)</t>
        </is>
      </c>
      <c r="C20" t="inlineStr">
        <is>
          <t>base</t>
        </is>
      </c>
      <c r="D20" t="inlineStr">
        <is>
          <t>A</t>
        </is>
      </c>
      <c r="E20" s="6" t="n">
        <v>4997576.708614</v>
      </c>
      <c r="F20" s="6" t="n">
        <v>0</v>
      </c>
      <c r="G20" s="6" t="n">
        <v>-4997576.708614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4830990.818326866</v>
      </c>
      <c r="M20" s="7" t="n">
        <v>1</v>
      </c>
      <c r="N20" s="6" t="n">
        <v>11062.92010123356</v>
      </c>
      <c r="O20" s="6" t="n">
        <v>11062.92010123356</v>
      </c>
      <c r="P20" s="6" t="n">
        <v>-11062.92010123356</v>
      </c>
      <c r="Q20" s="6" t="n">
        <v>0</v>
      </c>
      <c r="R20" s="6" t="n">
        <v>0</v>
      </c>
      <c r="S20" t="inlineStr"/>
    </row>
    <row r="21">
      <c r="A21" t="inlineStr">
        <is>
          <t>S53</t>
        </is>
      </c>
      <c r="B21" t="inlineStr">
        <is>
          <t>USDC raw (Unichain — ALM idle)</t>
        </is>
      </c>
      <c r="C21" t="inlineStr">
        <is>
          <t>unichain</t>
        </is>
      </c>
      <c r="D21" t="inlineStr">
        <is>
          <t>A</t>
        </is>
      </c>
      <c r="E21" s="6" t="n">
        <v>4992819.462732</v>
      </c>
      <c r="F21" s="6" t="n">
        <v>0</v>
      </c>
      <c r="G21" s="6" t="n">
        <v>-4992819.462732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4826392.1473076</v>
      </c>
      <c r="M21" s="7" t="n">
        <v>1</v>
      </c>
      <c r="N21" s="6" t="n">
        <v>11052.38919112191</v>
      </c>
      <c r="O21" s="6" t="n">
        <v>11052.38919112191</v>
      </c>
      <c r="P21" s="6" t="n">
        <v>-11052.38919112191</v>
      </c>
      <c r="Q21" s="6" t="n">
        <v>0</v>
      </c>
      <c r="R21" s="6" t="n">
        <v>0</v>
      </c>
      <c r="S21" t="inlineStr"/>
    </row>
    <row r="22">
      <c r="A22" t="inlineStr">
        <is>
          <t>S45</t>
        </is>
      </c>
      <c r="B22" t="inlineStr">
        <is>
          <t>USDC raw (Arbitrum — ALM idle)</t>
        </is>
      </c>
      <c r="C22" t="inlineStr">
        <is>
          <t>arbitrum</t>
        </is>
      </c>
      <c r="D22" t="inlineStr">
        <is>
          <t>A</t>
        </is>
      </c>
      <c r="E22" s="6" t="n">
        <v>4975417.167355</v>
      </c>
      <c r="F22" s="6" t="n">
        <v>0</v>
      </c>
      <c r="G22" s="6" t="n">
        <v>-4975417.167355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4809569.928443166</v>
      </c>
      <c r="M22" s="7" t="n">
        <v>1</v>
      </c>
      <c r="N22" s="6" t="n">
        <v>11013.86648010439</v>
      </c>
      <c r="O22" s="6" t="n">
        <v>11013.86648010439</v>
      </c>
      <c r="P22" s="6" t="n">
        <v>-11013.86648010439</v>
      </c>
      <c r="Q22" s="6" t="n">
        <v>0</v>
      </c>
      <c r="R22" s="6" t="n">
        <v>0</v>
      </c>
      <c r="S22" t="inlineStr"/>
    </row>
    <row r="23">
      <c r="A23" t="inlineStr">
        <is>
          <t>S51</t>
        </is>
      </c>
      <c r="B23" t="inlineStr">
        <is>
          <t>Savings USDS / sUSDS proxy (Unichain — POL)</t>
        </is>
      </c>
      <c r="C23" t="inlineStr">
        <is>
          <t>unichain</t>
        </is>
      </c>
      <c r="D23" t="inlineStr">
        <is>
          <t>B</t>
        </is>
      </c>
      <c r="E23" s="6" t="n">
        <v>985396.9281006901</v>
      </c>
      <c r="F23" s="6" t="n">
        <v>104355616.018357</v>
      </c>
      <c r="G23" s="6" t="n">
        <v>103370219.0902563</v>
      </c>
      <c r="H23" s="6" t="n">
        <v>2868.606371807529</v>
      </c>
      <c r="I23" s="6" t="n">
        <v>0</v>
      </c>
      <c r="J23" s="6" t="n">
        <v>2868.606371807529</v>
      </c>
      <c r="K23" s="6" t="n">
        <v>0</v>
      </c>
      <c r="L23" s="6" t="n">
        <v>4430975.277563506</v>
      </c>
      <c r="M23" s="7" t="n">
        <v>1</v>
      </c>
      <c r="N23" s="6" t="n">
        <v>10146.88855964403</v>
      </c>
      <c r="O23" s="6" t="n">
        <v>9055.95042005166</v>
      </c>
      <c r="P23" s="6" t="n">
        <v>-7278.282187836503</v>
      </c>
      <c r="Q23" s="6" t="n">
        <v>0</v>
      </c>
      <c r="R23" s="6" t="n">
        <v>1090.938139592373</v>
      </c>
      <c r="S23" t="inlineStr"/>
    </row>
    <row r="24">
      <c r="A24" t="inlineStr">
        <is>
          <t>S10</t>
        </is>
      </c>
      <c r="B24" t="inlineStr">
        <is>
          <t>Spark Blue Chip USDC Vault (Morpho)</t>
        </is>
      </c>
      <c r="C24" t="inlineStr">
        <is>
          <t>ethereum</t>
        </is>
      </c>
      <c r="D24" t="inlineStr">
        <is>
          <t>B</t>
        </is>
      </c>
      <c r="E24" s="6" t="n">
        <v>3501087.141508509</v>
      </c>
      <c r="F24" s="6" t="n">
        <v>640616.8200220506</v>
      </c>
      <c r="G24" s="6" t="n">
        <v>-2860470.321486458</v>
      </c>
      <c r="H24" s="6" t="n">
        <v>4911.11634148522</v>
      </c>
      <c r="I24" s="6" t="n">
        <v>0</v>
      </c>
      <c r="J24" s="6" t="n">
        <v>4911.11634148522</v>
      </c>
      <c r="K24" s="6" t="n">
        <v>0</v>
      </c>
      <c r="L24" s="6" t="n">
        <v>1459844.806102522</v>
      </c>
      <c r="M24" s="7" t="n">
        <v>1</v>
      </c>
      <c r="N24" s="6" t="n">
        <v>3343.029837449852</v>
      </c>
      <c r="O24" s="6" t="n">
        <v>3343.029837449852</v>
      </c>
      <c r="P24" s="6" t="n">
        <v>1568.086504035368</v>
      </c>
      <c r="Q24" s="6" t="n">
        <v>0</v>
      </c>
      <c r="R24" s="6" t="n">
        <v>0</v>
      </c>
      <c r="S24" t="inlineStr"/>
    </row>
    <row r="25">
      <c r="A25" t="inlineStr">
        <is>
          <t>S61</t>
        </is>
      </c>
      <c r="B25" t="inlineStr">
        <is>
          <t>Spark.fi PYUSD Reserve Uniswap V4 (PYUSD/USDS)</t>
        </is>
      </c>
      <c r="C25" t="inlineStr">
        <is>
          <t>ethereum</t>
        </is>
      </c>
      <c r="D25" t="inlineStr">
        <is>
          <t>F</t>
        </is>
      </c>
      <c r="E25" s="6" t="n">
        <v>220002.6507685304</v>
      </c>
      <c r="F25" s="6" t="n">
        <v>100119969.930802</v>
      </c>
      <c r="G25" s="6" t="n">
        <v>99899967.28003348</v>
      </c>
      <c r="H25" s="6" t="n">
        <v>1030.276249266686</v>
      </c>
      <c r="I25" s="6" t="n">
        <v>0</v>
      </c>
      <c r="J25" s="6" t="n">
        <v>0</v>
      </c>
      <c r="K25" s="6" t="n">
        <v>1030.276249266686</v>
      </c>
      <c r="L25" s="6" t="n">
        <v>22121073.51134836</v>
      </c>
      <c r="M25" s="7" t="n">
        <v>0</v>
      </c>
      <c r="N25" s="6" t="n">
        <v>0</v>
      </c>
      <c r="O25" s="6" t="n">
        <v>1030.276249266686</v>
      </c>
      <c r="P25" s="6" t="n">
        <v>0</v>
      </c>
      <c r="Q25" s="6" t="n">
        <v>22121073.51134836</v>
      </c>
      <c r="R25" s="6" t="n">
        <v>0</v>
      </c>
      <c r="S25" t="inlineStr">
        <is>
          <t>SDE (fixed)</t>
        </is>
      </c>
    </row>
    <row r="26">
      <c r="A26" t="inlineStr">
        <is>
          <t>S34</t>
        </is>
      </c>
      <c r="B26" t="inlineStr">
        <is>
          <t>Spark USDC Vault (Morpho, Base)</t>
        </is>
      </c>
      <c r="C26" t="inlineStr">
        <is>
          <t>base</t>
        </is>
      </c>
      <c r="D26" t="inlineStr">
        <is>
          <t>B</t>
        </is>
      </c>
      <c r="E26" s="6" t="n">
        <v>424.9110349025811</v>
      </c>
      <c r="F26" s="6" t="n">
        <v>394.3129623374141</v>
      </c>
      <c r="G26" s="6" t="n">
        <v>-30.59807256516697</v>
      </c>
      <c r="H26" s="6" t="n">
        <v>690.3378764287719</v>
      </c>
      <c r="I26" s="6" t="n">
        <v>0</v>
      </c>
      <c r="J26" s="6" t="n">
        <v>690.3378764287719</v>
      </c>
      <c r="K26" s="6" t="n">
        <v>0</v>
      </c>
      <c r="L26" s="6" t="n">
        <v>193331.1163669253</v>
      </c>
      <c r="M26" s="7" t="n">
        <v>1</v>
      </c>
      <c r="N26" s="6" t="n">
        <v>442.7263006453657</v>
      </c>
      <c r="O26" s="6" t="n">
        <v>442.7263006453657</v>
      </c>
      <c r="P26" s="6" t="n">
        <v>247.6115757834062</v>
      </c>
      <c r="Q26" s="6" t="n">
        <v>0</v>
      </c>
      <c r="R26" s="6" t="n">
        <v>0</v>
      </c>
      <c r="S26" t="inlineStr"/>
    </row>
    <row r="27">
      <c r="A27" t="inlineStr">
        <is>
          <t>S62</t>
        </is>
      </c>
      <c r="B27" t="inlineStr">
        <is>
          <t>Spark.fi USDT Reserve Uniswap V4 (USDT/USDS)</t>
        </is>
      </c>
      <c r="C27" t="inlineStr">
        <is>
          <t>ethereum</t>
        </is>
      </c>
      <c r="D27" t="inlineStr">
        <is>
          <t>F</t>
        </is>
      </c>
      <c r="E27" s="6" t="n">
        <v>1250066.267840007</v>
      </c>
      <c r="F27" s="6" t="n">
        <v>50000000.01256605</v>
      </c>
      <c r="G27" s="6" t="n">
        <v>48749933.74472605</v>
      </c>
      <c r="H27" s="6" t="n">
        <v>119.7501854271759</v>
      </c>
      <c r="I27" s="6" t="n">
        <v>0</v>
      </c>
      <c r="J27" s="6" t="n">
        <v>0</v>
      </c>
      <c r="K27" s="6" t="n">
        <v>119.7501854271759</v>
      </c>
      <c r="L27" s="6" t="n">
        <v>18435553.22634522</v>
      </c>
      <c r="M27" s="7" t="n">
        <v>0</v>
      </c>
      <c r="N27" s="6" t="n">
        <v>0</v>
      </c>
      <c r="O27" s="6" t="n">
        <v>119.7501854271759</v>
      </c>
      <c r="P27" s="6" t="n">
        <v>0</v>
      </c>
      <c r="Q27" s="6" t="n">
        <v>18435553.22634522</v>
      </c>
      <c r="R27" s="6" t="n">
        <v>0</v>
      </c>
      <c r="S27" t="inlineStr">
        <is>
          <t>SDE (fixed)</t>
        </is>
      </c>
    </row>
    <row r="28">
      <c r="A28" t="inlineStr">
        <is>
          <t>S12</t>
        </is>
      </c>
      <c r="B28" t="inlineStr">
        <is>
          <t>Spark DAI Vault (Morpho)</t>
        </is>
      </c>
      <c r="C28" t="inlineStr">
        <is>
          <t>ethereum</t>
        </is>
      </c>
      <c r="D28" t="inlineStr">
        <is>
          <t>B</t>
        </is>
      </c>
      <c r="E28" s="6" t="n">
        <v>539.8728953809741</v>
      </c>
      <c r="F28" s="6" t="n">
        <v>637.4866706248019</v>
      </c>
      <c r="G28" s="6" t="n">
        <v>97.6137752438278</v>
      </c>
      <c r="H28" s="6" t="n">
        <v>97.6137752438278</v>
      </c>
      <c r="I28" s="6" t="n">
        <v>0</v>
      </c>
      <c r="J28" s="6" t="n">
        <v>97.6137752438278</v>
      </c>
      <c r="K28" s="6" t="n">
        <v>0</v>
      </c>
      <c r="L28" s="6" t="n">
        <v>539.8728953809741</v>
      </c>
      <c r="M28" s="7" t="n">
        <v>1</v>
      </c>
      <c r="N28" s="6" t="n">
        <v>1.236303468796457</v>
      </c>
      <c r="O28" s="6" t="n">
        <v>1.236303468796457</v>
      </c>
      <c r="P28" s="6" t="n">
        <v>96.37747177503135</v>
      </c>
      <c r="Q28" s="6" t="n">
        <v>0</v>
      </c>
      <c r="R28" s="6" t="n">
        <v>0</v>
      </c>
      <c r="S28" t="inlineStr"/>
    </row>
    <row r="29">
      <c r="A29" t="inlineStr">
        <is>
          <t>S36</t>
        </is>
      </c>
      <c r="B29" t="inlineStr">
        <is>
          <t>Fluid Savings USDS (fsUSDS, Base)</t>
        </is>
      </c>
      <c r="C29" t="inlineStr">
        <is>
          <t>base</t>
        </is>
      </c>
      <c r="D29" t="inlineStr">
        <is>
          <t>B</t>
        </is>
      </c>
      <c r="E29" s="6" t="n">
        <v>283.8972488542868</v>
      </c>
      <c r="F29" s="6" t="n">
        <v>283.8972488542868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283.8972488542868</v>
      </c>
      <c r="M29" s="7" t="n">
        <v>1</v>
      </c>
      <c r="N29" s="6" t="n">
        <v>0.6501218278288377</v>
      </c>
      <c r="O29" s="6" t="n">
        <v>0.6501218278288377</v>
      </c>
      <c r="P29" s="6" t="n">
        <v>-0.6501218278288377</v>
      </c>
      <c r="Q29" s="6" t="n">
        <v>0</v>
      </c>
      <c r="R29" s="6" t="n">
        <v>0</v>
      </c>
      <c r="S29" t="inlineStr"/>
    </row>
    <row r="30">
      <c r="A30" t="inlineStr">
        <is>
          <t>S16</t>
        </is>
      </c>
      <c r="B30" t="inlineStr">
        <is>
          <t>Ethena Staked USDe (sUSDe)</t>
        </is>
      </c>
      <c r="C30" t="inlineStr">
        <is>
          <t>ethereum</t>
        </is>
      </c>
      <c r="D30" t="inlineStr">
        <is>
          <t>B</t>
        </is>
      </c>
      <c r="E30" s="6" t="n">
        <v>99.81305763596731</v>
      </c>
      <c r="F30" s="6" t="n">
        <v>100.1238263246728</v>
      </c>
      <c r="G30" s="6" t="n">
        <v>0.3107686887055447</v>
      </c>
      <c r="H30" s="6" t="n">
        <v>0.3107686887055447</v>
      </c>
      <c r="I30" s="6" t="n">
        <v>0</v>
      </c>
      <c r="J30" s="6" t="n">
        <v>0.3107686887055447</v>
      </c>
      <c r="K30" s="6" t="n">
        <v>0</v>
      </c>
      <c r="L30" s="6" t="n">
        <v>99.81305763596731</v>
      </c>
      <c r="M30" s="7" t="n">
        <v>1</v>
      </c>
      <c r="N30" s="6" t="n">
        <v>0.2285708922272297</v>
      </c>
      <c r="O30" s="6" t="n">
        <v>0.2285708922272297</v>
      </c>
      <c r="P30" s="6" t="n">
        <v>0.08219779647831503</v>
      </c>
      <c r="Q30" s="6" t="n">
        <v>0</v>
      </c>
      <c r="R30" s="6" t="n">
        <v>0</v>
      </c>
      <c r="S30" t="inlineStr"/>
    </row>
    <row r="31">
      <c r="A31" t="inlineStr">
        <is>
          <t>S13</t>
        </is>
      </c>
      <c r="B31" t="inlineStr">
        <is>
          <t>Spark USDS Vault (Morpho)</t>
        </is>
      </c>
      <c r="C31" t="inlineStr">
        <is>
          <t>ethereum</t>
        </is>
      </c>
      <c r="D31" t="inlineStr">
        <is>
          <t>B</t>
        </is>
      </c>
      <c r="E31" s="6" t="n">
        <v>21.90661272343654</v>
      </c>
      <c r="F31" s="6" t="n">
        <v>21.90842102645718</v>
      </c>
      <c r="G31" s="6" t="n">
        <v>0.001808303020639377</v>
      </c>
      <c r="H31" s="6" t="n">
        <v>0.0001839966329158897</v>
      </c>
      <c r="I31" s="6" t="n">
        <v>0</v>
      </c>
      <c r="J31" s="6" t="n">
        <v>0.0001839966329158897</v>
      </c>
      <c r="K31" s="6" t="n">
        <v>0</v>
      </c>
      <c r="L31" s="6" t="n">
        <v>21.90693758471409</v>
      </c>
      <c r="M31" s="7" t="n">
        <v>1</v>
      </c>
      <c r="N31" s="6" t="n">
        <v>0.05016666544738702</v>
      </c>
      <c r="O31" s="6" t="n">
        <v>0.05016666544738702</v>
      </c>
      <c r="P31" s="6" t="n">
        <v>-0.04998266881447113</v>
      </c>
      <c r="Q31" s="6" t="n">
        <v>0</v>
      </c>
      <c r="R31" s="6" t="n">
        <v>0</v>
      </c>
      <c r="S31" t="inlineStr"/>
    </row>
    <row r="32">
      <c r="A32" t="inlineStr">
        <is>
          <t>S23</t>
        </is>
      </c>
      <c r="B32" t="inlineStr">
        <is>
          <t>Anchorage tri-party loan escrow (USDC pass-through, ~$0 balance)</t>
        </is>
      </c>
      <c r="C32" t="inlineStr">
        <is>
          <t>ethereum</t>
        </is>
      </c>
      <c r="D32" t="inlineStr">
        <is>
          <t>E</t>
        </is>
      </c>
      <c r="E32" s="6" t="n">
        <v>10.015998</v>
      </c>
      <c r="F32" s="6" t="n">
        <v>1.353383</v>
      </c>
      <c r="G32" s="6" t="n">
        <v>-8.662615000000001</v>
      </c>
      <c r="H32" s="6" t="n">
        <v>-8.662615000000001</v>
      </c>
      <c r="I32" s="6" t="n">
        <v>0</v>
      </c>
      <c r="J32" s="6" t="n">
        <v>-8.662615000000001</v>
      </c>
      <c r="K32" s="6" t="n">
        <v>0</v>
      </c>
      <c r="L32" s="6" t="n">
        <v>10.015998</v>
      </c>
      <c r="M32" s="7" t="n">
        <v>1</v>
      </c>
      <c r="N32" s="6" t="n">
        <v>0.02293653409312233</v>
      </c>
      <c r="O32" s="6" t="n">
        <v>0.02293653409312233</v>
      </c>
      <c r="P32" s="6" t="n">
        <v>-8.685551534093122</v>
      </c>
      <c r="Q32" s="6" t="n">
        <v>0</v>
      </c>
      <c r="R32" s="6" t="n">
        <v>0</v>
      </c>
      <c r="S32" t="inlineStr"/>
    </row>
    <row r="33">
      <c r="A33" t="inlineStr">
        <is>
          <t>S9</t>
        </is>
      </c>
      <c r="B33" t="inlineStr">
        <is>
          <t>Aave Ethereum USDT (aToken)</t>
        </is>
      </c>
      <c r="C33" t="inlineStr">
        <is>
          <t>ethereum</t>
        </is>
      </c>
      <c r="D33" t="inlineStr">
        <is>
          <t>C</t>
        </is>
      </c>
      <c r="E33" s="6" t="n">
        <v>5.913258</v>
      </c>
      <c r="F33" s="6" t="n">
        <v>5.924825</v>
      </c>
      <c r="G33" s="6" t="n">
        <v>0.011567</v>
      </c>
      <c r="H33" s="6" t="n">
        <v>0.011567</v>
      </c>
      <c r="I33" s="6" t="n">
        <v>0</v>
      </c>
      <c r="J33" s="6" t="n">
        <v>0.011567</v>
      </c>
      <c r="K33" s="6" t="n">
        <v>0</v>
      </c>
      <c r="L33" s="6" t="n">
        <v>5.913258</v>
      </c>
      <c r="M33" s="7" t="n">
        <v>1</v>
      </c>
      <c r="N33" s="6" t="n">
        <v>0.01354130099850543</v>
      </c>
      <c r="O33" s="6" t="n">
        <v>0.01354130099850543</v>
      </c>
      <c r="P33" s="6" t="n">
        <v>-0.001974300998505425</v>
      </c>
      <c r="Q33" s="6" t="n">
        <v>0</v>
      </c>
      <c r="R33" s="6" t="n">
        <v>0</v>
      </c>
      <c r="S33" t="inlineStr"/>
    </row>
    <row r="34">
      <c r="A34" t="inlineStr">
        <is>
          <t>S54</t>
        </is>
      </c>
      <c r="B34" t="inlineStr">
        <is>
          <t>Aave Avalanche USDC (aAvaUSDC)</t>
        </is>
      </c>
      <c r="C34" t="inlineStr">
        <is>
          <t>avalanche_c</t>
        </is>
      </c>
      <c r="D34" t="inlineStr">
        <is>
          <t>C</t>
        </is>
      </c>
      <c r="E34" s="6" t="n">
        <v>0.155165</v>
      </c>
      <c r="F34" s="6" t="n">
        <v>0.155607</v>
      </c>
      <c r="G34" s="6" t="n">
        <v>0.000442</v>
      </c>
      <c r="H34" s="6" t="n">
        <v>0.000442</v>
      </c>
      <c r="I34" s="6" t="n">
        <v>0</v>
      </c>
      <c r="J34" s="6" t="n">
        <v>0.000442</v>
      </c>
      <c r="K34" s="6" t="n">
        <v>0</v>
      </c>
      <c r="L34" s="6" t="n">
        <v>0.155165</v>
      </c>
      <c r="M34" s="7" t="n">
        <v>1</v>
      </c>
      <c r="N34" s="6" t="n">
        <v>0.0003553262802727522</v>
      </c>
      <c r="O34" s="6" t="n">
        <v>0.0003553262802727522</v>
      </c>
      <c r="P34" s="6" t="n">
        <v>8.667371972724776e-05</v>
      </c>
      <c r="Q34" s="6" t="n">
        <v>0</v>
      </c>
      <c r="R34" s="6" t="n">
        <v>0</v>
      </c>
      <c r="S34" t="inlineStr"/>
    </row>
    <row r="35">
      <c r="A35" t="inlineStr">
        <is>
          <t>S8</t>
        </is>
      </c>
      <c r="B35" t="inlineStr">
        <is>
          <t>Aave Ethereum USDC (aToken)</t>
        </is>
      </c>
      <c r="C35" t="inlineStr">
        <is>
          <t>ethereum</t>
        </is>
      </c>
      <c r="D35" t="inlineStr">
        <is>
          <t>C</t>
        </is>
      </c>
      <c r="E35" s="6" t="n">
        <v>0.057969</v>
      </c>
      <c r="F35" s="6" t="n">
        <v>0.058128</v>
      </c>
      <c r="G35" s="6" t="n">
        <v>0.000159</v>
      </c>
      <c r="H35" s="6" t="n">
        <v>0.000159</v>
      </c>
      <c r="I35" s="6" t="n">
        <v>0</v>
      </c>
      <c r="J35" s="6" t="n">
        <v>0.000159</v>
      </c>
      <c r="K35" s="6" t="n">
        <v>0</v>
      </c>
      <c r="L35" s="6" t="n">
        <v>0.057969</v>
      </c>
      <c r="M35" s="7" t="n">
        <v>1</v>
      </c>
      <c r="N35" s="6" t="n">
        <v>0.0001327484235564153</v>
      </c>
      <c r="O35" s="6" t="n">
        <v>0.0001327484235564153</v>
      </c>
      <c r="P35" s="6" t="n">
        <v>2.625157644358474e-05</v>
      </c>
      <c r="Q35" s="6" t="n">
        <v>0</v>
      </c>
      <c r="R35" s="6" t="n">
        <v>0</v>
      </c>
      <c r="S35" t="inlineStr"/>
    </row>
    <row r="36">
      <c r="A36" t="inlineStr">
        <is>
          <t>S41</t>
        </is>
      </c>
      <c r="B36" t="inlineStr">
        <is>
          <t>Aave Arbitrum USDCn (aArbUSDCn)</t>
        </is>
      </c>
      <c r="C36" t="inlineStr">
        <is>
          <t>arbitrum</t>
        </is>
      </c>
      <c r="D36" t="inlineStr">
        <is>
          <t>C</t>
        </is>
      </c>
      <c r="E36" s="6" t="n">
        <v>0.006363</v>
      </c>
      <c r="F36" s="6" t="n">
        <v>0.006375</v>
      </c>
      <c r="G36" s="6" t="n">
        <v>1.2e-05</v>
      </c>
      <c r="H36" s="6" t="n">
        <v>1.2e-05</v>
      </c>
      <c r="I36" s="6" t="n">
        <v>0</v>
      </c>
      <c r="J36" s="6" t="n">
        <v>1.2e-05</v>
      </c>
      <c r="K36" s="6" t="n">
        <v>0</v>
      </c>
      <c r="L36" s="6" t="n">
        <v>0.006363</v>
      </c>
      <c r="M36" s="7" t="n">
        <v>1</v>
      </c>
      <c r="N36" s="6" t="n">
        <v>1.457120562868896e-05</v>
      </c>
      <c r="O36" s="6" t="n">
        <v>1.457120562868896e-05</v>
      </c>
      <c r="P36" s="6" t="n">
        <v>-2.57120562868896e-06</v>
      </c>
      <c r="Q36" s="6" t="n">
        <v>0</v>
      </c>
      <c r="R36" s="6" t="n">
        <v>0</v>
      </c>
      <c r="S36" t="inlineStr"/>
    </row>
    <row r="37">
      <c r="A37" t="inlineStr">
        <is>
          <t>S7</t>
        </is>
      </c>
      <c r="B37" t="inlineStr">
        <is>
          <t>Aave Ethereum USDS (aToken)</t>
        </is>
      </c>
      <c r="C37" t="inlineStr">
        <is>
          <t>ethereum</t>
        </is>
      </c>
      <c r="D37" t="inlineStr">
        <is>
          <t>C</t>
        </is>
      </c>
      <c r="E37" s="6" t="n">
        <v>0.005746426914602806</v>
      </c>
      <c r="F37" s="6" t="n">
        <v>0.005747618663969358</v>
      </c>
      <c r="G37" s="6" t="n">
        <v>1.191749366552e-06</v>
      </c>
      <c r="H37" s="6" t="n">
        <v>1.191749366552e-06</v>
      </c>
      <c r="I37" s="6" t="n">
        <v>0</v>
      </c>
      <c r="J37" s="6" t="n">
        <v>1.191749366552e-06</v>
      </c>
      <c r="K37" s="6" t="n">
        <v>0</v>
      </c>
      <c r="L37" s="6" t="n">
        <v>0.005746426914602806</v>
      </c>
      <c r="M37" s="7" t="n">
        <v>1</v>
      </c>
      <c r="N37" s="6" t="n">
        <v>1.315925950069309e-05</v>
      </c>
      <c r="O37" s="6" t="n">
        <v>1.315925950069309e-05</v>
      </c>
      <c r="P37" s="6" t="n">
        <v>-1.196751013414109e-05</v>
      </c>
      <c r="Q37" s="6" t="n">
        <v>0</v>
      </c>
      <c r="R37" s="6" t="n">
        <v>0</v>
      </c>
      <c r="S37" t="inlineStr"/>
    </row>
    <row r="38">
      <c r="A38" t="inlineStr">
        <is>
          <t>S35</t>
        </is>
      </c>
      <c r="B38" t="inlineStr">
        <is>
          <t>Aave Base USDC (aBasUSDC)</t>
        </is>
      </c>
      <c r="C38" t="inlineStr">
        <is>
          <t>base</t>
        </is>
      </c>
      <c r="D38" t="inlineStr">
        <is>
          <t>C</t>
        </is>
      </c>
      <c r="E38" s="6" t="n">
        <v>0.001705</v>
      </c>
      <c r="F38" s="6" t="n">
        <v>0.001709</v>
      </c>
      <c r="G38" s="6" t="n">
        <v>4e-06</v>
      </c>
      <c r="H38" s="6" t="n">
        <v>4e-06</v>
      </c>
      <c r="I38" s="6" t="n">
        <v>0</v>
      </c>
      <c r="J38" s="6" t="n">
        <v>4e-06</v>
      </c>
      <c r="K38" s="6" t="n">
        <v>0</v>
      </c>
      <c r="L38" s="6" t="n">
        <v>0.001705</v>
      </c>
      <c r="M38" s="7" t="n">
        <v>1</v>
      </c>
      <c r="N38" s="6" t="n">
        <v>3.904432751361728e-06</v>
      </c>
      <c r="O38" s="6" t="n">
        <v>3.904432751361728e-06</v>
      </c>
      <c r="P38" s="6" t="n">
        <v>9.556724863827176e-08</v>
      </c>
      <c r="Q38" s="6" t="n">
        <v>0</v>
      </c>
      <c r="R38" s="6" t="n">
        <v>0</v>
      </c>
      <c r="S38" t="inlineStr"/>
    </row>
    <row r="39">
      <c r="A39" t="inlineStr">
        <is>
          <t>S17</t>
        </is>
      </c>
      <c r="B39" t="inlineStr">
        <is>
          <t>Fluid Savings USDS (fsUSDS)</t>
        </is>
      </c>
      <c r="C39" t="inlineStr">
        <is>
          <t>ethereum</t>
        </is>
      </c>
      <c r="D39" t="inlineStr">
        <is>
          <t>B</t>
        </is>
      </c>
      <c r="E39" s="6" t="n">
        <v>0.001240144670509943</v>
      </c>
      <c r="F39" s="6" t="n">
        <v>0.001240144670509943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0.001240144670509943</v>
      </c>
      <c r="M39" s="7" t="n">
        <v>1</v>
      </c>
      <c r="N39" s="6" t="n">
        <v>2.839918749540013e-06</v>
      </c>
      <c r="O39" s="6" t="n">
        <v>2.839918749540013e-06</v>
      </c>
      <c r="P39" s="6" t="n">
        <v>-2.839918749540013e-06</v>
      </c>
      <c r="Q39" s="6" t="n">
        <v>0</v>
      </c>
      <c r="R39" s="6" t="n">
        <v>0</v>
      </c>
      <c r="S39" t="inlineStr"/>
    </row>
    <row r="40">
      <c r="A40" t="inlineStr">
        <is>
          <t>S6</t>
        </is>
      </c>
      <c r="B40" t="inlineStr">
        <is>
          <t>Aave Ethereum Lido USDS (aToken)</t>
        </is>
      </c>
      <c r="C40" t="inlineStr">
        <is>
          <t>ethereum</t>
        </is>
      </c>
      <c r="D40" t="inlineStr">
        <is>
          <t>C</t>
        </is>
      </c>
      <c r="E40" s="6" t="n">
        <v>0.000521673271312833</v>
      </c>
      <c r="F40" s="6" t="n">
        <v>0.000522139801452544</v>
      </c>
      <c r="G40" s="6" t="n">
        <v>4.66530139711e-07</v>
      </c>
      <c r="H40" s="6" t="n">
        <v>4.66530139711e-07</v>
      </c>
      <c r="I40" s="6" t="n">
        <v>0</v>
      </c>
      <c r="J40" s="6" t="n">
        <v>4.66530139711e-07</v>
      </c>
      <c r="K40" s="6" t="n">
        <v>0</v>
      </c>
      <c r="L40" s="6" t="n">
        <v>0.000521673271312833</v>
      </c>
      <c r="M40" s="7" t="n">
        <v>1</v>
      </c>
      <c r="N40" s="6" t="n">
        <v>1.194626513796972e-06</v>
      </c>
      <c r="O40" s="6" t="n">
        <v>1.194626513796972e-06</v>
      </c>
      <c r="P40" s="6" t="n">
        <v>-7.280963740859724e-07</v>
      </c>
      <c r="Q40" s="6" t="n">
        <v>0</v>
      </c>
      <c r="R40" s="6" t="n">
        <v>0</v>
      </c>
      <c r="S40" t="inlineStr"/>
    </row>
    <row r="41">
      <c r="A41" t="inlineStr">
        <is>
          <t>S30</t>
        </is>
      </c>
      <c r="B41" t="inlineStr">
        <is>
          <t>USDe raw (ALM idle)</t>
        </is>
      </c>
      <c r="C41" t="inlineStr">
        <is>
          <t>ethereum</t>
        </is>
      </c>
      <c r="D41" t="inlineStr">
        <is>
          <t>A</t>
        </is>
      </c>
      <c r="E41" s="6" t="n">
        <v>7.4896275897803e-05</v>
      </c>
      <c r="F41" s="6" t="n">
        <v>7.4896275897803e-05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7.4896275897803e-05</v>
      </c>
      <c r="M41" s="7" t="n">
        <v>1</v>
      </c>
      <c r="N41" s="6" t="n">
        <v>1.715117141175402e-07</v>
      </c>
      <c r="O41" s="6" t="n">
        <v>1.715117141175402e-07</v>
      </c>
      <c r="P41" s="6" t="n">
        <v>-1.715117141175402e-07</v>
      </c>
      <c r="Q41" s="6" t="n">
        <v>0</v>
      </c>
      <c r="R41" s="6" t="n">
        <v>0</v>
      </c>
      <c r="S41" t="inlineStr"/>
    </row>
    <row r="42">
      <c r="A42" t="inlineStr">
        <is>
          <t>S15</t>
        </is>
      </c>
      <c r="B42" t="inlineStr">
        <is>
          <t>Maple syrupUSDT (ERC-4626)</t>
        </is>
      </c>
      <c r="C42" t="inlineStr">
        <is>
          <t>ethereum</t>
        </is>
      </c>
      <c r="D42" t="inlineStr">
        <is>
          <t>B</t>
        </is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7" t="n">
        <v>1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t="inlineStr"/>
    </row>
    <row r="43">
      <c r="A43" t="inlineStr">
        <is>
          <t>S19</t>
        </is>
      </c>
      <c r="B43" t="inlineStr">
        <is>
          <t>BlackRock USD Institutional Digital Liquidity Fund (BUIDL-I)</t>
        </is>
      </c>
      <c r="C43" t="inlineStr">
        <is>
          <t>ethereum</t>
        </is>
      </c>
      <c r="D43" t="inlineStr">
        <is>
          <t>E</t>
        </is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7" t="n">
        <v>1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t="inlineStr"/>
    </row>
    <row r="44">
      <c r="A44" t="inlineStr">
        <is>
          <t>S20</t>
        </is>
      </c>
      <c r="B44" t="inlineStr">
        <is>
          <t>Janus Henderson Anemoy Treasury Fund (JTRSY)</t>
        </is>
      </c>
      <c r="C44" t="inlineStr">
        <is>
          <t>ethereum</t>
        </is>
      </c>
      <c r="D44" t="inlineStr">
        <is>
          <t>E</t>
        </is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7" t="n">
        <v>1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t="inlineStr"/>
    </row>
    <row r="45">
      <c r="A45" t="inlineStr">
        <is>
          <t>S21</t>
        </is>
      </c>
      <c r="B45" t="inlineStr">
        <is>
          <t>Superstate Short Duration US Government Securities Fund (USTB)</t>
        </is>
      </c>
      <c r="C45" t="inlineStr">
        <is>
          <t>ethereum</t>
        </is>
      </c>
      <c r="D45" t="inlineStr">
        <is>
          <t>E</t>
        </is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7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t="inlineStr">
        <is>
          <t>SDE (fixed)</t>
        </is>
      </c>
    </row>
    <row r="46">
      <c r="A46" t="inlineStr">
        <is>
          <t>S22</t>
        </is>
      </c>
      <c r="B46" t="inlineStr">
        <is>
          <t>Superstate Crypto Carry Fund (USCC)</t>
        </is>
      </c>
      <c r="C46" t="inlineStr">
        <is>
          <t>ethereum</t>
        </is>
      </c>
      <c r="D46" t="inlineStr">
        <is>
          <t>E</t>
        </is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7" t="n">
        <v>1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t="inlineStr"/>
    </row>
    <row r="47">
      <c r="A47" t="inlineStr">
        <is>
          <t>S26</t>
        </is>
      </c>
      <c r="B47" t="inlineStr">
        <is>
          <t>USDC raw (ALM idle)</t>
        </is>
      </c>
      <c r="C47" t="inlineStr">
        <is>
          <t>ethereum</t>
        </is>
      </c>
      <c r="D47" t="inlineStr">
        <is>
          <t>A</t>
        </is>
      </c>
      <c r="E47" s="6" t="n">
        <v>0</v>
      </c>
      <c r="F47" s="6" t="n">
        <v>0</v>
      </c>
      <c r="G47" s="6" t="n">
        <v>0</v>
      </c>
      <c r="H47" s="6" t="n">
        <v>1435964.694856968</v>
      </c>
      <c r="I47" s="6" t="n">
        <v>0</v>
      </c>
      <c r="J47" s="6" t="n">
        <v>1435964.694856968</v>
      </c>
      <c r="K47" s="6" t="n">
        <v>0</v>
      </c>
      <c r="L47" s="6" t="n">
        <v>0</v>
      </c>
      <c r="M47" s="7" t="n">
        <v>1</v>
      </c>
      <c r="N47" s="6" t="n">
        <v>0</v>
      </c>
      <c r="O47" s="6" t="n">
        <v>0</v>
      </c>
      <c r="P47" s="6" t="n">
        <v>1435964.694856968</v>
      </c>
      <c r="Q47" s="6" t="n">
        <v>0</v>
      </c>
      <c r="R47" s="6" t="n">
        <v>0</v>
      </c>
      <c r="S47" t="inlineStr"/>
    </row>
    <row r="48">
      <c r="A48" t="inlineStr">
        <is>
          <t>S29</t>
        </is>
      </c>
      <c r="B48" t="inlineStr">
        <is>
          <t>DAI raw (ALM idle)</t>
        </is>
      </c>
      <c r="C48" t="inlineStr">
        <is>
          <t>ethereum</t>
        </is>
      </c>
      <c r="D48" t="inlineStr">
        <is>
          <t>A</t>
        </is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7" t="n">
        <v>1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t="inlineStr"/>
    </row>
    <row r="49">
      <c r="A49" t="inlineStr">
        <is>
          <t>S31</t>
        </is>
      </c>
      <c r="B49" t="inlineStr">
        <is>
          <t>USDS raw / POL (ALM idle — already netted out of utilized)</t>
        </is>
      </c>
      <c r="C49" t="inlineStr">
        <is>
          <t>ethereum</t>
        </is>
      </c>
      <c r="D49" t="inlineStr">
        <is>
          <t>A</t>
        </is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7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t="inlineStr">
        <is>
          <t>CoF excluded (already deducted from utilized)</t>
        </is>
      </c>
    </row>
    <row r="50">
      <c r="A50" t="inlineStr">
        <is>
          <t>S38</t>
        </is>
      </c>
      <c r="B50" t="inlineStr">
        <is>
          <t>USDS raw (Base — POL)</t>
        </is>
      </c>
      <c r="C50" t="inlineStr">
        <is>
          <t>base</t>
        </is>
      </c>
      <c r="D50" t="inlineStr">
        <is>
          <t>A</t>
        </is>
      </c>
      <c r="E50" s="6" t="n">
        <v>65170000</v>
      </c>
      <c r="F50" s="6" t="n">
        <v>146550618.2104181</v>
      </c>
      <c r="G50" s="6" t="n">
        <v>81380618.21041812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67882687.2736806</v>
      </c>
      <c r="M50" s="7" t="n">
        <v>0</v>
      </c>
      <c r="N50" s="6" t="n">
        <v>0</v>
      </c>
      <c r="O50" s="6" t="n">
        <v>0</v>
      </c>
      <c r="P50" s="6" t="n">
        <v>0</v>
      </c>
      <c r="Q50" s="6" t="n">
        <v>67882687.2736806</v>
      </c>
      <c r="R50" s="6" t="n">
        <v>0</v>
      </c>
      <c r="S50" t="inlineStr">
        <is>
          <t>CoF excluded (already deducted from utilized)</t>
        </is>
      </c>
    </row>
    <row r="51">
      <c r="A51" t="inlineStr">
        <is>
          <t>S42</t>
        </is>
      </c>
      <c r="B51" t="inlineStr">
        <is>
          <t>Fluid Savings USDS (fsUSDS, Arbitrum)</t>
        </is>
      </c>
      <c r="C51" t="inlineStr">
        <is>
          <t>arbitrum</t>
        </is>
      </c>
      <c r="D51" t="inlineStr">
        <is>
          <t>B</t>
        </is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7" t="n">
        <v>1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t="inlineStr"/>
    </row>
    <row r="52">
      <c r="A52" t="inlineStr">
        <is>
          <t>S44</t>
        </is>
      </c>
      <c r="B52" t="inlineStr">
        <is>
          <t>USDS raw (Arbitrum — POL)</t>
        </is>
      </c>
      <c r="C52" t="inlineStr">
        <is>
          <t>arbitrum</t>
        </is>
      </c>
      <c r="D52" t="inlineStr">
        <is>
          <t>A</t>
        </is>
      </c>
      <c r="E52" s="6" t="n">
        <v>90000000</v>
      </c>
      <c r="F52" s="6" t="n">
        <v>90000000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90000000</v>
      </c>
      <c r="M52" s="7" t="n">
        <v>0</v>
      </c>
      <c r="N52" s="6" t="n">
        <v>0</v>
      </c>
      <c r="O52" s="6" t="n">
        <v>0</v>
      </c>
      <c r="P52" s="6" t="n">
        <v>0</v>
      </c>
      <c r="Q52" s="6" t="n">
        <v>90000000</v>
      </c>
      <c r="R52" s="6" t="n">
        <v>0</v>
      </c>
      <c r="S52" t="inlineStr">
        <is>
          <t>CoF excluded (already deducted from utilized)</t>
        </is>
      </c>
    </row>
    <row r="53">
      <c r="A53" t="inlineStr">
        <is>
          <t>S48</t>
        </is>
      </c>
      <c r="B53" t="inlineStr">
        <is>
          <t>USDS raw (Optimism — POL)</t>
        </is>
      </c>
      <c r="C53" t="inlineStr">
        <is>
          <t>optimism</t>
        </is>
      </c>
      <c r="D53" t="inlineStr">
        <is>
          <t>A</t>
        </is>
      </c>
      <c r="E53" s="6" t="n">
        <v>89900000</v>
      </c>
      <c r="F53" s="6" t="n">
        <v>100304256.5863323</v>
      </c>
      <c r="G53" s="6" t="n">
        <v>10404256.58633234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90246808.55287774</v>
      </c>
      <c r="M53" s="7" t="n">
        <v>0</v>
      </c>
      <c r="N53" s="6" t="n">
        <v>0</v>
      </c>
      <c r="O53" s="6" t="n">
        <v>0</v>
      </c>
      <c r="P53" s="6" t="n">
        <v>0</v>
      </c>
      <c r="Q53" s="6" t="n">
        <v>90246808.55287774</v>
      </c>
      <c r="R53" s="6" t="n">
        <v>0</v>
      </c>
      <c r="S53" t="inlineStr">
        <is>
          <t>CoF excluded (already deducted from utilized)</t>
        </is>
      </c>
    </row>
    <row r="54">
      <c r="A54" t="inlineStr">
        <is>
          <t>S52</t>
        </is>
      </c>
      <c r="B54" t="inlineStr">
        <is>
          <t>USDS raw (Unichain — POL)</t>
        </is>
      </c>
      <c r="C54" t="inlineStr">
        <is>
          <t>unichain</t>
        </is>
      </c>
      <c r="D54" t="inlineStr">
        <is>
          <t>A</t>
        </is>
      </c>
      <c r="E54" s="6" t="n">
        <v>89900000</v>
      </c>
      <c r="F54" s="6" t="n">
        <v>99990828.81481861</v>
      </c>
      <c r="G54" s="6" t="n">
        <v>10090828.81481861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90236360.96049395</v>
      </c>
      <c r="M54" s="7" t="n">
        <v>0</v>
      </c>
      <c r="N54" s="6" t="n">
        <v>0</v>
      </c>
      <c r="O54" s="6" t="n">
        <v>0</v>
      </c>
      <c r="P54" s="6" t="n">
        <v>0</v>
      </c>
      <c r="Q54" s="6" t="n">
        <v>90236360.96049395</v>
      </c>
      <c r="R54" s="6" t="n">
        <v>0</v>
      </c>
      <c r="S54" t="inlineStr">
        <is>
          <t>CoF excluded (already deducted from utilized)</t>
        </is>
      </c>
    </row>
    <row r="55">
      <c r="A55" t="inlineStr">
        <is>
          <t>S55</t>
        </is>
      </c>
      <c r="B55" t="inlineStr">
        <is>
          <t>USDC raw (Avalanche-C — ALM idle)</t>
        </is>
      </c>
      <c r="C55" t="inlineStr">
        <is>
          <t>avalanche_c</t>
        </is>
      </c>
      <c r="D55" t="inlineStr">
        <is>
          <t>A</t>
        </is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7" t="n">
        <v>1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t="inlineStr"/>
    </row>
    <row r="56">
      <c r="A56" t="inlineStr">
        <is>
          <t>PSM_CURVE_DEDUCT</t>
        </is>
      </c>
      <c r="B56" t="inlineStr">
        <is>
          <t>PSM3 USDS + PSM3 USDC (SDE) + Curve idle USDS — BR deduction (unattributed)</t>
        </is>
      </c>
      <c r="C56" t="inlineStr"/>
      <c r="D56" t="inlineStr"/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7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t="inlineStr">
        <is>
          <t>BR deduction from PSM3 USDS leg + PSM3 USDC leg (SDE, ≈$0 yield) + Curve idle USDS — not tracked per-venue; residual = sky_rev_br_reduction − Σ(known venue deduction_avg × effective_br_rate × n_days)</t>
        </is>
      </c>
    </row>
    <row r="58">
      <c r="A58" s="8" t="inlineStr">
        <is>
          <t>Position-only venues (PnL aggregated at prime level)</t>
        </is>
      </c>
    </row>
    <row r="59">
      <c r="A59" s="2" t="inlineStr">
        <is>
          <t>Venue</t>
        </is>
      </c>
      <c r="B59" s="2" t="inlineStr">
        <is>
          <t>Label</t>
        </is>
      </c>
      <c r="C59" s="2" t="inlineStr">
        <is>
          <t>Chain</t>
        </is>
      </c>
      <c r="D59" s="2" t="inlineStr">
        <is>
          <t>Pricing cat.</t>
        </is>
      </c>
      <c r="E59" s="2" t="inlineStr">
        <is>
          <t>Position SoM</t>
        </is>
      </c>
      <c r="F59" s="2" t="inlineStr">
        <is>
          <t>Position EoM</t>
        </is>
      </c>
    </row>
    <row r="60">
      <c r="A60" t="inlineStr">
        <is>
          <t>S56</t>
        </is>
      </c>
      <c r="B60" t="inlineStr">
        <is>
          <t>Spark Savings V2 — spUSDC vault</t>
        </is>
      </c>
      <c r="C60" t="inlineStr">
        <is>
          <t>ethereum</t>
        </is>
      </c>
      <c r="D60" t="inlineStr">
        <is>
          <t>S2</t>
        </is>
      </c>
      <c r="E60" s="6" t="n">
        <v>303545287.192935</v>
      </c>
      <c r="F60" s="6" t="n">
        <v>317193040.533521</v>
      </c>
    </row>
    <row r="61">
      <c r="A61" t="inlineStr">
        <is>
          <t>S57</t>
        </is>
      </c>
      <c r="B61" t="inlineStr">
        <is>
          <t>Spark Savings V2 — spUSDT vault</t>
        </is>
      </c>
      <c r="C61" t="inlineStr">
        <is>
          <t>ethereum</t>
        </is>
      </c>
      <c r="D61" t="inlineStr">
        <is>
          <t>S2</t>
        </is>
      </c>
      <c r="E61" s="6" t="n">
        <v>1270360913.25412</v>
      </c>
      <c r="F61" s="6" t="n">
        <v>863439216.480082</v>
      </c>
    </row>
    <row r="62">
      <c r="A62" t="inlineStr">
        <is>
          <t>S59</t>
        </is>
      </c>
      <c r="B62" t="inlineStr">
        <is>
          <t>Spark Savings V2 — spPYUSD vault</t>
        </is>
      </c>
      <c r="C62" t="inlineStr">
        <is>
          <t>ethereum</t>
        </is>
      </c>
      <c r="D62" t="inlineStr">
        <is>
          <t>S2</t>
        </is>
      </c>
      <c r="E62" s="6" t="n">
        <v>773533.783718</v>
      </c>
      <c r="F62" s="6" t="n">
        <v>797030.383413</v>
      </c>
    </row>
    <row r="63">
      <c r="A63" t="inlineStr">
        <is>
          <t>S60</t>
        </is>
      </c>
      <c r="B63" t="inlineStr">
        <is>
          <t>Spark Savings V2 — spUSDC vault (Avalanche-C, CREATE2 same address)</t>
        </is>
      </c>
      <c r="C63" t="inlineStr">
        <is>
          <t>avalanche_c</t>
        </is>
      </c>
      <c r="D63" t="inlineStr">
        <is>
          <t>S2</t>
        </is>
      </c>
      <c r="E63" s="6" t="n">
        <v>25647247.422478</v>
      </c>
      <c r="F63" s="6" t="n">
        <v>19103797.28946</v>
      </c>
    </row>
    <row r="64">
      <c r="A64" t="inlineStr"/>
      <c r="B64" s="5" t="inlineStr">
        <is>
          <t>Aggregated actual_revenue (included in prime_agent_revenue, not in Venues body above)</t>
        </is>
      </c>
      <c r="C64" t="inlineStr"/>
      <c r="D64" t="inlineStr"/>
      <c r="E64" t="inlineStr"/>
      <c r="F64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8" t="inlineStr">
        <is>
          <t>Rates &amp; subsidy — effective rate charged this period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Time-weighted utilized</t>
        </is>
      </c>
      <c r="B5" s="6" t="n">
        <v>2945662385.958665</v>
      </c>
    </row>
    <row r="6">
      <c r="A6" t="inlineStr">
        <is>
          <t xml:space="preserve">  — first $1B (subsidised tranche)</t>
        </is>
      </c>
      <c r="B6" s="6" t="n">
        <v>1000000000</v>
      </c>
    </row>
    <row r="7">
      <c r="A7" t="inlineStr">
        <is>
          <t xml:space="preserve">  — excess (full base-rate tranche)</t>
        </is>
      </c>
      <c r="B7" s="6" t="n">
        <v>1945662385.958666</v>
      </c>
    </row>
    <row r="8">
      <c r="A8" t="inlineStr">
        <is>
          <t>Base rate (BR = SSR + 30bps), period avg</t>
        </is>
      </c>
      <c r="B8" s="7" t="n">
        <v>0.03910800426568259</v>
      </c>
    </row>
    <row r="9">
      <c r="A9" t="inlineStr">
        <is>
          <t>Reference rate (tbill_3m), period avg</t>
        </is>
      </c>
      <c r="B9" s="7" t="n">
        <v>0.03809333333333333</v>
      </c>
    </row>
    <row r="10">
      <c r="A10" t="inlineStr">
        <is>
          <t>Subsidised rate (BR*), period avg</t>
        </is>
      </c>
      <c r="B10" s="7" t="n">
        <v>0.0383047231109061</v>
      </c>
    </row>
    <row r="11">
      <c r="A11" s="8" t="inlineStr">
        <is>
          <t>Effective blended rate charged</t>
        </is>
      </c>
      <c r="B11" s="10" t="n">
        <v>0.03883530459765357</v>
      </c>
    </row>
    <row r="12">
      <c r="A12" s="8" t="inlineStr">
        <is>
          <t>Diff vs base rate (bps)</t>
        </is>
      </c>
      <c r="B12" s="11" t="n">
        <v>-2.726996680290183</v>
      </c>
    </row>
    <row r="13">
      <c r="A13" s="8" t="inlineStr">
        <is>
          <t>Subsidy benefit to prime (USD)</t>
        </is>
      </c>
      <c r="B13" s="12" t="n">
        <v>63571.67819359694</v>
      </c>
    </row>
    <row r="15">
      <c r="A15" t="inlineStr">
        <is>
          <t>CoF at full base rate (no subsidy)</t>
        </is>
      </c>
      <c r="B15" s="3" t="n">
        <v>9288441.718268225</v>
      </c>
    </row>
    <row r="16">
      <c r="A16" t="inlineStr">
        <is>
          <t xml:space="preserve">  − actual CoF (subsidy on first tranche)</t>
        </is>
      </c>
      <c r="B16" s="3" t="n">
        <v>9224870.040074628</v>
      </c>
    </row>
    <row r="17">
      <c r="A17" s="8" t="inlineStr">
        <is>
          <t xml:space="preserve">  = subsidy benefit</t>
        </is>
      </c>
      <c r="B17" s="12" t="n">
        <v>63571.67819359694</v>
      </c>
    </row>
    <row r="19">
      <c r="A19" s="2" t="inlineStr">
        <is>
          <t>Tranche</t>
        </is>
      </c>
      <c r="B19" s="2" t="inlineStr">
        <is>
          <t>Avg balance</t>
        </is>
      </c>
      <c r="C19" s="2" t="inlineStr">
        <is>
          <t>CoF (USD)</t>
        </is>
      </c>
    </row>
    <row r="20">
      <c r="A20" t="inlineStr">
        <is>
          <t>Subsidised (first $1B)</t>
        </is>
      </c>
      <c r="B20" s="6" t="n">
        <v>1000000000</v>
      </c>
      <c r="C20" s="3" t="n">
        <v>3089689.117254046</v>
      </c>
    </row>
    <row r="21">
      <c r="A21" t="inlineStr">
        <is>
          <t>Excess (&gt; cap)</t>
        </is>
      </c>
      <c r="B21" s="6" t="n">
        <v>1945662385.958666</v>
      </c>
      <c r="C21" s="3" t="n">
        <v>6135180.922820581</v>
      </c>
    </row>
    <row r="23">
      <c r="A23" s="2" t="inlineStr">
        <is>
          <t>Component</t>
        </is>
      </c>
      <c r="B23" s="2" t="inlineStr">
        <is>
          <t>USD</t>
        </is>
      </c>
    </row>
    <row r="24">
      <c r="A24" t="inlineStr">
        <is>
          <t>CoF on utilized debt (= Σ_d max(utilized_d,0) × (1+BR_d)^(1/365)−1)</t>
        </is>
      </c>
      <c r="B24" s="3" t="n">
        <v>9053787.675606435</v>
      </c>
    </row>
    <row r="25">
      <c r="A25" t="inlineStr">
        <is>
          <t>+ Sky-Direct revenue (full venue yield on fixed/capped SDE)</t>
        </is>
      </c>
      <c r="B25" s="3" t="n">
        <v>21041.50083063317</v>
      </c>
    </row>
    <row r="26">
      <c r="A26" t="inlineStr">
        <is>
          <t>equals sky_revenue (total Sky take this month)</t>
        </is>
      </c>
      <c r="B26" s="3" t="n">
        <v>9074829.176437067</v>
      </c>
    </row>
    <row r="28">
      <c r="A28" s="5" t="inlineStr">
        <is>
          <t>Utilized base = cum_debt − idle USDS − PSM USDS − Σ SDE asset value − Curve idle − lending idle</t>
        </is>
      </c>
    </row>
    <row r="30">
      <c r="A30" s="8" t="inlineStr">
        <is>
          <t>Sky Revenue (max) — BR × full ilk debt (no deductions)</t>
        </is>
      </c>
      <c r="B30" s="3" t="n">
        <v>11789933.3682553</v>
      </c>
    </row>
    <row r="31">
      <c r="A31" t="inlineStr">
        <is>
          <t xml:space="preserve">    ↳ actual CoF on Net_Subs (BR × utilized)</t>
        </is>
      </c>
      <c r="B31" s="3" t="n">
        <v>9053787.675606435</v>
      </c>
    </row>
    <row r="32">
      <c r="A32" t="inlineStr">
        <is>
          <t xml:space="preserve">    ↳ reduction from idle/SDE deductions</t>
        </is>
      </c>
      <c r="B32" s="3" t="n">
        <v>-2736145.692648868</v>
      </c>
    </row>
    <row r="33" ht="60" customHeight="1">
      <c r="A33" s="13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35" ht="60" customHeight="1">
      <c r="A35" s="13" t="inlineStr">
        <is>
          <t>sUSDS spread (Curve LP + PSM3) — 30 bps × value × n_days deducted from sky_revenue. Sky charges full BR on the underlying utilized; this row is the offsetting refund to the prime so SSR + BR + 30 bps nets to zero economically.</t>
        </is>
      </c>
      <c r="B35" s="3" t="n">
        <v>171082.3644681933</v>
      </c>
    </row>
    <row r="37">
      <c r="A37" s="2" t="inlineStr">
        <is>
          <t>Subsidy</t>
        </is>
      </c>
      <c r="B37" s="2" t="inlineStr">
        <is>
          <t>Value</t>
        </is>
      </c>
    </row>
    <row r="38">
      <c r="A38" t="inlineStr">
        <is>
          <t>enabled</t>
        </is>
      </c>
      <c r="B38" t="inlineStr">
        <is>
          <t>true</t>
        </is>
      </c>
    </row>
    <row r="39">
      <c r="A39" t="inlineStr">
        <is>
          <t>cap_usd</t>
        </is>
      </c>
      <c r="B39" s="6" t="n">
        <v>1000000000</v>
      </c>
    </row>
    <row r="40">
      <c r="A40" t="inlineStr">
        <is>
          <t>program_start</t>
        </is>
      </c>
      <c r="B40" t="inlineStr">
        <is>
          <t>2026-01-01</t>
        </is>
      </c>
    </row>
    <row r="41">
      <c r="A41" t="inlineStr">
        <is>
          <t>ramp_months</t>
        </is>
      </c>
      <c r="B41" t="n">
        <v>24</v>
      </c>
    </row>
    <row r="42">
      <c r="A42" t="inlineStr">
        <is>
          <t>ref_rate_kind</t>
        </is>
      </c>
      <c r="B42" t="inlineStr">
        <is>
          <t>tbill_3m</t>
        </is>
      </c>
    </row>
    <row r="43">
      <c r="A43" t="inlineStr">
        <is>
          <t>T this period</t>
        </is>
      </c>
      <c r="B43" t="inlineStr">
        <is>
          <t>5 (SoM) → 5 (EoM)</t>
        </is>
      </c>
    </row>
    <row r="44">
      <c r="A44" s="5" t="inlineStr">
        <is>
          <t>Formula</t>
        </is>
      </c>
      <c r="B44" t="inlineStr">
        <is>
          <t>subsidised_apy = ref_rate + (base_apy − ref_rate) × min(T, 24) / 24, applied to first cap_usd of utilized; excess at full base_apy</t>
        </is>
      </c>
    </row>
    <row r="46">
      <c r="A46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  <row r="4">
      <c r="A4" t="inlineStr">
        <is>
          <t>S21</t>
        </is>
      </c>
      <c r="B4" t="inlineStr">
        <is>
          <t>fixed</t>
        </is>
      </c>
      <c r="C4" t="inlineStr"/>
      <c r="D4" t="inlineStr">
        <is>
          <t>2025-10-30</t>
        </is>
      </c>
      <c r="E4" t="inlineStr">
        <is>
          <t>—</t>
        </is>
      </c>
      <c r="F4" t="inlineStr">
        <is>
          <t>YES</t>
        </is>
      </c>
      <c r="G4" t="inlineStr">
        <is>
          <t>Atlas A.2.2.9.1.1.1.1.1 — Treasury Bills</t>
        </is>
      </c>
      <c r="H4" t="inlineStr">
        <is>
          <t>USTB on Eth</t>
        </is>
      </c>
      <c r="I4" s="6" t="n">
        <v>0</v>
      </c>
      <c r="J4" s="6" t="n">
        <v>0</v>
      </c>
    </row>
    <row r="5">
      <c r="A5" t="inlineStr">
        <is>
          <t>S24</t>
        </is>
      </c>
      <c r="B5" t="inlineStr">
        <is>
          <t>fixed</t>
        </is>
      </c>
      <c r="C5" t="inlineStr"/>
      <c r="D5" t="inlineStr">
        <is>
          <t>2025-11-13</t>
        </is>
      </c>
      <c r="E5" t="inlineStr">
        <is>
          <t>—</t>
        </is>
      </c>
      <c r="F5" t="inlineStr">
        <is>
          <t>YES</t>
        </is>
      </c>
      <c r="G5" t="inlineStr">
        <is>
          <t>Atlas A.2.2.9.1.1.1.1.3 — Curve Pools</t>
        </is>
      </c>
      <c r="H5" t="inlineStr">
        <is>
          <t>USDT in sUSDS/USDT Curve</t>
        </is>
      </c>
      <c r="I5" s="6" t="n">
        <v>19891.47439593931</v>
      </c>
      <c r="J5" s="6" t="n">
        <v>19891.47439593931</v>
      </c>
    </row>
    <row r="6">
      <c r="A6" t="inlineStr">
        <is>
          <t>S61</t>
        </is>
      </c>
      <c r="B6" t="inlineStr">
        <is>
          <t>fixed</t>
        </is>
      </c>
      <c r="C6" t="inlineStr"/>
      <c r="D6" t="inlineStr">
        <is>
          <t>2026-02-01</t>
        </is>
      </c>
      <c r="E6" t="inlineStr">
        <is>
          <t>—</t>
        </is>
      </c>
      <c r="F6" t="inlineStr">
        <is>
          <t>YES</t>
        </is>
      </c>
      <c r="G6" t="inlineStr"/>
      <c r="H6" t="inlineStr">
        <is>
          <t>PYUSD in PYUSD/USDS Uniswap V4</t>
        </is>
      </c>
      <c r="I6" s="6" t="n">
        <v>1030.276249266686</v>
      </c>
      <c r="J6" s="6" t="n">
        <v>1030.276249266686</v>
      </c>
    </row>
    <row r="7">
      <c r="A7" t="inlineStr">
        <is>
          <t>S62</t>
        </is>
      </c>
      <c r="B7" t="inlineStr">
        <is>
          <t>fixed</t>
        </is>
      </c>
      <c r="C7" t="inlineStr"/>
      <c r="D7" t="inlineStr">
        <is>
          <t>2026-02-01</t>
        </is>
      </c>
      <c r="E7" t="inlineStr">
        <is>
          <t>—</t>
        </is>
      </c>
      <c r="F7" t="inlineStr">
        <is>
          <t>YES</t>
        </is>
      </c>
      <c r="G7" t="inlineStr"/>
      <c r="H7" t="inlineStr">
        <is>
          <t>USDT in USDT/USDS Uniswap V4</t>
        </is>
      </c>
      <c r="I7" s="6" t="n">
        <v>119.7501854271759</v>
      </c>
      <c r="J7" s="6" t="n">
        <v>119.7501854271759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8" customWidth="1" min="14" max="14"/>
    <col width="22" customWidth="1" min="15" max="15"/>
  </cols>
  <sheetData>
    <row r="1">
      <c r="A1" s="1" t="inlineStr">
        <is>
          <t>Daily ilk debt + Sky charge breakdown</t>
        </is>
      </c>
    </row>
    <row r="3" ht="45" customHeight="1">
      <c r="A3" s="13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T (months)</t>
        </is>
      </c>
      <c r="L5" s="2" t="inlineStr">
        <is>
          <t>ref_rate APY</t>
        </is>
      </c>
      <c r="M5" s="2" t="inlineStr">
        <is>
          <t>sub APY</t>
        </is>
      </c>
      <c r="N5" s="2" t="inlineStr">
        <is>
          <t>daily Sky charge</t>
        </is>
      </c>
      <c r="O5" s="2" t="inlineStr">
        <is>
          <t>daily Sky charge (gross on cum_debt)</t>
        </is>
      </c>
    </row>
    <row r="6">
      <c r="A6" t="inlineStr">
        <is>
          <t>2026-06-01</t>
        </is>
      </c>
      <c r="B6" s="6" t="n">
        <v>4073552928.756976</v>
      </c>
      <c r="C6" s="6" t="n">
        <v>334970000</v>
      </c>
      <c r="D6" s="6" t="n">
        <v>110863143.4782853</v>
      </c>
      <c r="E6" s="6" t="n">
        <v>91091279.19206849</v>
      </c>
      <c r="F6" s="6" t="n">
        <v>74211501.64222991</v>
      </c>
      <c r="G6" s="6" t="n">
        <v>275726915.1248708</v>
      </c>
      <c r="H6" s="6" t="n">
        <v>3186690089.319521</v>
      </c>
      <c r="I6" s="7" t="n">
        <v>0.03600000425292382</v>
      </c>
      <c r="J6" s="7" t="n">
        <v>0.03910800426568259</v>
      </c>
      <c r="K6" t="n">
        <v>5</v>
      </c>
      <c r="L6" s="7" t="n">
        <v>0.0378</v>
      </c>
      <c r="M6" s="7" t="n">
        <v>0.03807250088868387</v>
      </c>
      <c r="N6" s="3" t="n">
        <v>332216.9641822214</v>
      </c>
      <c r="O6" s="3" t="n">
        <v>425433.9582668049</v>
      </c>
    </row>
    <row r="7">
      <c r="A7" t="inlineStr">
        <is>
          <t>2026-06-02</t>
        </is>
      </c>
      <c r="B7" s="6" t="n">
        <v>4124577054.785484</v>
      </c>
      <c r="C7" s="6" t="n">
        <v>334970000</v>
      </c>
      <c r="D7" s="6" t="n">
        <v>110877925.9108401</v>
      </c>
      <c r="E7" s="6" t="n">
        <v>91692006.16659966</v>
      </c>
      <c r="F7" s="6" t="n">
        <v>71612483.73833267</v>
      </c>
      <c r="G7" s="6" t="n">
        <v>295365472.0216876</v>
      </c>
      <c r="H7" s="6" t="n">
        <v>3220059166.948024</v>
      </c>
      <c r="I7" s="7" t="n">
        <v>0.03600000425292382</v>
      </c>
      <c r="J7" s="7" t="n">
        <v>0.03910800426568259</v>
      </c>
      <c r="K7" t="n">
        <v>5</v>
      </c>
      <c r="L7" s="7" t="n">
        <v>0.0378</v>
      </c>
      <c r="M7" s="7" t="n">
        <v>0.03807250088868387</v>
      </c>
      <c r="N7" s="3" t="n">
        <v>335724.3443244282</v>
      </c>
      <c r="O7" s="3" t="n">
        <v>430797.037474394</v>
      </c>
    </row>
    <row r="8">
      <c r="A8" t="inlineStr">
        <is>
          <t>2026-06-03</t>
        </is>
      </c>
      <c r="B8" s="6" t="n">
        <v>4115416406.257702</v>
      </c>
      <c r="C8" s="6" t="n">
        <v>334970000</v>
      </c>
      <c r="D8" s="6" t="n">
        <v>110877810.6471726</v>
      </c>
      <c r="E8" s="6" t="n">
        <v>92077236.20493722</v>
      </c>
      <c r="F8" s="6" t="n">
        <v>69854985.93062063</v>
      </c>
      <c r="G8" s="6" t="n">
        <v>293845524.0721337</v>
      </c>
      <c r="H8" s="6" t="n">
        <v>3213790849.402838</v>
      </c>
      <c r="I8" s="7" t="n">
        <v>0.03600000425292382</v>
      </c>
      <c r="J8" s="7" t="n">
        <v>0.03910800426568259</v>
      </c>
      <c r="K8" t="n">
        <v>5</v>
      </c>
      <c r="L8" s="7" t="n">
        <v>0.0378</v>
      </c>
      <c r="M8" s="7" t="n">
        <v>0.03807250088868387</v>
      </c>
      <c r="N8" s="3" t="n">
        <v>335065.4896588066</v>
      </c>
      <c r="O8" s="3" t="n">
        <v>429834.173678943</v>
      </c>
    </row>
    <row r="9">
      <c r="A9" t="inlineStr">
        <is>
          <t>2026-06-04</t>
        </is>
      </c>
      <c r="B9" s="6" t="n">
        <v>4027651005.954475</v>
      </c>
      <c r="C9" s="6" t="n">
        <v>334970000</v>
      </c>
      <c r="D9" s="6" t="n">
        <v>110892059.3807669</v>
      </c>
      <c r="E9" s="6" t="n">
        <v>88843858.89968219</v>
      </c>
      <c r="F9" s="6" t="n">
        <v>73417540.77615157</v>
      </c>
      <c r="G9" s="6" t="n">
        <v>259701827.6324171</v>
      </c>
      <c r="H9" s="6" t="n">
        <v>3159825719.265458</v>
      </c>
      <c r="I9" s="7" t="n">
        <v>0.03600000425292382</v>
      </c>
      <c r="J9" s="7" t="n">
        <v>0.03910800426568259</v>
      </c>
      <c r="K9" t="n">
        <v>5</v>
      </c>
      <c r="L9" s="7" t="n">
        <v>0.0378</v>
      </c>
      <c r="M9" s="7" t="n">
        <v>0.03807250088868387</v>
      </c>
      <c r="N9" s="3" t="n">
        <v>329393.2853526921</v>
      </c>
      <c r="O9" s="3" t="n">
        <v>420609.2671465119</v>
      </c>
    </row>
    <row r="10">
      <c r="A10" t="inlineStr">
        <is>
          <t>2026-06-05</t>
        </is>
      </c>
      <c r="B10" s="6" t="n">
        <v>3860950105.041667</v>
      </c>
      <c r="C10" s="6" t="n">
        <v>334970000</v>
      </c>
      <c r="D10" s="6" t="n">
        <v>110889172.1612514</v>
      </c>
      <c r="E10" s="6" t="n">
        <v>69533991.50583017</v>
      </c>
      <c r="F10" s="6" t="n">
        <v>41641283.76800805</v>
      </c>
      <c r="G10" s="6" t="n">
        <v>207279980.22869</v>
      </c>
      <c r="H10" s="6" t="n">
        <v>3096635677.377887</v>
      </c>
      <c r="I10" s="7" t="n">
        <v>0.03600000425292382</v>
      </c>
      <c r="J10" s="7" t="n">
        <v>0.03910800426568259</v>
      </c>
      <c r="K10" t="n">
        <v>5</v>
      </c>
      <c r="L10" s="7" t="n">
        <v>0.0378</v>
      </c>
      <c r="M10" s="7" t="n">
        <v>0.03807250088868387</v>
      </c>
      <c r="N10" s="3" t="n">
        <v>322751.4626277998</v>
      </c>
      <c r="O10" s="3" t="n">
        <v>403087.5532993731</v>
      </c>
    </row>
    <row r="11">
      <c r="A11" t="inlineStr">
        <is>
          <t>2026-06-06</t>
        </is>
      </c>
      <c r="B11" s="6" t="n">
        <v>3899646137.809783</v>
      </c>
      <c r="C11" s="6" t="n">
        <v>334970000</v>
      </c>
      <c r="D11" s="6" t="n">
        <v>111007257.3918854</v>
      </c>
      <c r="E11" s="6" t="n">
        <v>79253012.95639059</v>
      </c>
      <c r="F11" s="6" t="n">
        <v>51845841.4035126</v>
      </c>
      <c r="G11" s="6" t="n">
        <v>219866569.9365954</v>
      </c>
      <c r="H11" s="6" t="n">
        <v>3102703456.121398</v>
      </c>
      <c r="I11" s="7" t="n">
        <v>0.03600000425292382</v>
      </c>
      <c r="J11" s="7" t="n">
        <v>0.03910800426568259</v>
      </c>
      <c r="K11" t="n">
        <v>5</v>
      </c>
      <c r="L11" s="7" t="n">
        <v>0.0378</v>
      </c>
      <c r="M11" s="7" t="n">
        <v>0.03807250088868387</v>
      </c>
      <c r="N11" s="3" t="n">
        <v>323389.2389220453</v>
      </c>
      <c r="O11" s="3" t="n">
        <v>407154.8427349417</v>
      </c>
    </row>
    <row r="12">
      <c r="A12" t="inlineStr">
        <is>
          <t>2026-06-07</t>
        </is>
      </c>
      <c r="B12" s="6" t="n">
        <v>3943672078.250353</v>
      </c>
      <c r="C12" s="6" t="n">
        <v>334970000</v>
      </c>
      <c r="D12" s="6" t="n">
        <v>111027715.4453579</v>
      </c>
      <c r="E12" s="6" t="n">
        <v>78076380.92033099</v>
      </c>
      <c r="F12" s="6" t="n">
        <v>59740402.97761387</v>
      </c>
      <c r="G12" s="6" t="n">
        <v>233820162.1960171</v>
      </c>
      <c r="H12" s="6" t="n">
        <v>3126037416.711033</v>
      </c>
      <c r="I12" s="7" t="n">
        <v>0.03600000425292382</v>
      </c>
      <c r="J12" s="7" t="n">
        <v>0.03910800426568259</v>
      </c>
      <c r="K12" t="n">
        <v>5</v>
      </c>
      <c r="L12" s="7" t="n">
        <v>0.0378</v>
      </c>
      <c r="M12" s="7" t="n">
        <v>0.03807250088868387</v>
      </c>
      <c r="N12" s="3" t="n">
        <v>325841.8410263725</v>
      </c>
      <c r="O12" s="3" t="n">
        <v>411782.3518007405</v>
      </c>
    </row>
    <row r="13">
      <c r="A13" t="inlineStr">
        <is>
          <t>2026-06-08</t>
        </is>
      </c>
      <c r="B13" s="6" t="n">
        <v>3916118019.82715</v>
      </c>
      <c r="C13" s="6" t="n">
        <v>334970000</v>
      </c>
      <c r="D13" s="6" t="n">
        <v>111120161.3432336</v>
      </c>
      <c r="E13" s="6" t="n">
        <v>76977750.60328962</v>
      </c>
      <c r="F13" s="6" t="n">
        <v>79010270.68734147</v>
      </c>
      <c r="G13" s="6" t="n">
        <v>247432620.1013258</v>
      </c>
      <c r="H13" s="6" t="n">
        <v>3066607217.091959</v>
      </c>
      <c r="I13" s="7" t="n">
        <v>0.03600000425292382</v>
      </c>
      <c r="J13" s="7" t="n">
        <v>0.03910800426568259</v>
      </c>
      <c r="K13" t="n">
        <v>5</v>
      </c>
      <c r="L13" s="7" t="n">
        <v>0.038</v>
      </c>
      <c r="M13" s="7" t="n">
        <v>0.03823083422201721</v>
      </c>
      <c r="N13" s="3" t="n">
        <v>320013.1016180831</v>
      </c>
      <c r="O13" s="3" t="n">
        <v>409304.0719372209</v>
      </c>
    </row>
    <row r="14">
      <c r="A14" t="inlineStr">
        <is>
          <t>2026-06-09</t>
        </is>
      </c>
      <c r="B14" s="6" t="n">
        <v>3890917362.647194</v>
      </c>
      <c r="C14" s="6" t="n">
        <v>334970000</v>
      </c>
      <c r="D14" s="6" t="n">
        <v>111173504.9761764</v>
      </c>
      <c r="E14" s="6" t="n">
        <v>83986995.1391526</v>
      </c>
      <c r="F14" s="6" t="n">
        <v>74224761.78704096</v>
      </c>
      <c r="G14" s="6" t="n">
        <v>238697706.7029445</v>
      </c>
      <c r="H14" s="6" t="n">
        <v>3047864394.041879</v>
      </c>
      <c r="I14" s="7" t="n">
        <v>0.03600000425292382</v>
      </c>
      <c r="J14" s="7" t="n">
        <v>0.03910800426568259</v>
      </c>
      <c r="K14" t="n">
        <v>5</v>
      </c>
      <c r="L14" s="7" t="n">
        <v>0.038</v>
      </c>
      <c r="M14" s="7" t="n">
        <v>0.03823083422201721</v>
      </c>
      <c r="N14" s="3" t="n">
        <v>318043.0679807554</v>
      </c>
      <c r="O14" s="3" t="n">
        <v>406655.2637937185</v>
      </c>
    </row>
    <row r="15">
      <c r="A15" t="inlineStr">
        <is>
          <t>2026-06-10</t>
        </is>
      </c>
      <c r="B15" s="6" t="n">
        <v>3885166546.751458</v>
      </c>
      <c r="C15" s="6" t="n">
        <v>334970000</v>
      </c>
      <c r="D15" s="6" t="n">
        <v>111194332.1398127</v>
      </c>
      <c r="E15" s="6" t="n">
        <v>88285885.87971774</v>
      </c>
      <c r="F15" s="6" t="n">
        <v>74834453.5301868</v>
      </c>
      <c r="G15" s="6" t="n">
        <v>238206862.499659</v>
      </c>
      <c r="H15" s="6" t="n">
        <v>3037675012.702082</v>
      </c>
      <c r="I15" s="7" t="n">
        <v>0.03600000425292382</v>
      </c>
      <c r="J15" s="7" t="n">
        <v>0.03910800426568259</v>
      </c>
      <c r="K15" t="n">
        <v>5</v>
      </c>
      <c r="L15" s="7" t="n">
        <v>0.038</v>
      </c>
      <c r="M15" s="7" t="n">
        <v>0.03823083422201721</v>
      </c>
      <c r="N15" s="3" t="n">
        <v>316972.0754238004</v>
      </c>
      <c r="O15" s="3" t="n">
        <v>406050.8030501897</v>
      </c>
    </row>
    <row r="16">
      <c r="A16" t="inlineStr">
        <is>
          <t>2026-06-11</t>
        </is>
      </c>
      <c r="B16" s="6" t="n">
        <v>3874615481.185847</v>
      </c>
      <c r="C16" s="6" t="n">
        <v>334970000</v>
      </c>
      <c r="D16" s="6" t="n">
        <v>111060579.317069</v>
      </c>
      <c r="E16" s="6" t="n">
        <v>88325228.61914782</v>
      </c>
      <c r="F16" s="6" t="n">
        <v>70954423.32702413</v>
      </c>
      <c r="G16" s="6" t="n">
        <v>237780248.9173348</v>
      </c>
      <c r="H16" s="6" t="n">
        <v>3031525001.005271</v>
      </c>
      <c r="I16" s="7" t="n">
        <v>0.03600000425292382</v>
      </c>
      <c r="J16" s="7" t="n">
        <v>0.03910800426568259</v>
      </c>
      <c r="K16" t="n">
        <v>5</v>
      </c>
      <c r="L16" s="7" t="n">
        <v>0.038</v>
      </c>
      <c r="M16" s="7" t="n">
        <v>0.03823083422201721</v>
      </c>
      <c r="N16" s="3" t="n">
        <v>316325.6557312972</v>
      </c>
      <c r="O16" s="3" t="n">
        <v>404941.7943369151</v>
      </c>
    </row>
    <row r="17">
      <c r="A17" t="inlineStr">
        <is>
          <t>2026-06-12</t>
        </is>
      </c>
      <c r="B17" s="6" t="n">
        <v>3896669785.462983</v>
      </c>
      <c r="C17" s="6" t="n">
        <v>334970000</v>
      </c>
      <c r="D17" s="6" t="n">
        <v>111188026.9078405</v>
      </c>
      <c r="E17" s="6" t="n">
        <v>81940718.48437874</v>
      </c>
      <c r="F17" s="6" t="n">
        <v>72514340.04445513</v>
      </c>
      <c r="G17" s="6" t="n">
        <v>229796725.1160904</v>
      </c>
      <c r="H17" s="6" t="n">
        <v>3066259974.910218</v>
      </c>
      <c r="I17" s="7" t="n">
        <v>0.03600000425292382</v>
      </c>
      <c r="J17" s="7" t="n">
        <v>0.03910800426568259</v>
      </c>
      <c r="K17" t="n">
        <v>5</v>
      </c>
      <c r="L17" s="7" t="n">
        <v>0.038</v>
      </c>
      <c r="M17" s="7" t="n">
        <v>0.03823083422201721</v>
      </c>
      <c r="N17" s="3" t="n">
        <v>319976.6034461427</v>
      </c>
      <c r="O17" s="3" t="n">
        <v>407259.893438514</v>
      </c>
    </row>
    <row r="18">
      <c r="A18" t="inlineStr">
        <is>
          <t>2026-06-13</t>
        </is>
      </c>
      <c r="B18" s="6" t="n">
        <v>3836230717.032772</v>
      </c>
      <c r="C18" s="6" t="n">
        <v>334970000</v>
      </c>
      <c r="D18" s="6" t="n">
        <v>111265821.539924</v>
      </c>
      <c r="E18" s="6" t="n">
        <v>81225115.20416264</v>
      </c>
      <c r="F18" s="6" t="n">
        <v>72546118.83705868</v>
      </c>
      <c r="G18" s="6" t="n">
        <v>226868838.8186921</v>
      </c>
      <c r="H18" s="6" t="n">
        <v>3009354822.632935</v>
      </c>
      <c r="I18" s="7" t="n">
        <v>0.03600000425292382</v>
      </c>
      <c r="J18" s="7" t="n">
        <v>0.03910800426568259</v>
      </c>
      <c r="K18" t="n">
        <v>5</v>
      </c>
      <c r="L18" s="7" t="n">
        <v>0.038</v>
      </c>
      <c r="M18" s="7" t="n">
        <v>0.03823083422201721</v>
      </c>
      <c r="N18" s="3" t="n">
        <v>313995.3772549782</v>
      </c>
      <c r="O18" s="3" t="n">
        <v>400907.221938702</v>
      </c>
    </row>
    <row r="19">
      <c r="A19" t="inlineStr">
        <is>
          <t>2026-06-14</t>
        </is>
      </c>
      <c r="B19" s="6" t="n">
        <v>3842045028.849095</v>
      </c>
      <c r="C19" s="6" t="n">
        <v>334970000</v>
      </c>
      <c r="D19" s="6" t="n">
        <v>111094083.5824292</v>
      </c>
      <c r="E19" s="6" t="n">
        <v>82726766.73606382</v>
      </c>
      <c r="F19" s="6" t="n">
        <v>67630610.3862804</v>
      </c>
      <c r="G19" s="6" t="n">
        <v>226543246.5083539</v>
      </c>
      <c r="H19" s="6" t="n">
        <v>3019080321.635968</v>
      </c>
      <c r="I19" s="7" t="n">
        <v>0.03600000425292382</v>
      </c>
      <c r="J19" s="7" t="n">
        <v>0.03910800426568259</v>
      </c>
      <c r="K19" t="n">
        <v>5</v>
      </c>
      <c r="L19" s="7" t="n">
        <v>0.038</v>
      </c>
      <c r="M19" s="7" t="n">
        <v>0.03823083422201721</v>
      </c>
      <c r="N19" s="3" t="n">
        <v>315017.6117457258</v>
      </c>
      <c r="O19" s="3" t="n">
        <v>401518.3566554659</v>
      </c>
    </row>
    <row r="20">
      <c r="A20" t="inlineStr">
        <is>
          <t>2026-06-15</t>
        </is>
      </c>
      <c r="B20" s="6" t="n">
        <v>3863585731.609864</v>
      </c>
      <c r="C20" s="6" t="n">
        <v>334970000</v>
      </c>
      <c r="D20" s="6" t="n">
        <v>111092039.3505391</v>
      </c>
      <c r="E20" s="6" t="n">
        <v>82885274.45428193</v>
      </c>
      <c r="F20" s="6" t="n">
        <v>73458271.24311817</v>
      </c>
      <c r="G20" s="6" t="n">
        <v>231469156.3066669</v>
      </c>
      <c r="H20" s="6" t="n">
        <v>3029710990.255258</v>
      </c>
      <c r="I20" s="7" t="n">
        <v>0.03600000425292382</v>
      </c>
      <c r="J20" s="7" t="n">
        <v>0.03910800426568259</v>
      </c>
      <c r="K20" t="n">
        <v>5</v>
      </c>
      <c r="L20" s="7" t="n">
        <v>0.0379</v>
      </c>
      <c r="M20" s="7" t="n">
        <v>0.03815166755535054</v>
      </c>
      <c r="N20" s="3" t="n">
        <v>315926.0497723278</v>
      </c>
      <c r="O20" s="3" t="n">
        <v>403573.5341132453</v>
      </c>
    </row>
    <row r="21">
      <c r="A21" t="inlineStr">
        <is>
          <t>2026-06-16</t>
        </is>
      </c>
      <c r="B21" s="6" t="n">
        <v>3591311440.913859</v>
      </c>
      <c r="C21" s="6" t="n">
        <v>334970000</v>
      </c>
      <c r="D21" s="6" t="n">
        <v>111194297.4469561</v>
      </c>
      <c r="E21" s="6" t="n">
        <v>88174581.71420911</v>
      </c>
      <c r="F21" s="6" t="n">
        <v>71580174.81251332</v>
      </c>
      <c r="G21" s="6" t="n">
        <v>228136263.6824556</v>
      </c>
      <c r="H21" s="6" t="n">
        <v>2757256123.257725</v>
      </c>
      <c r="I21" s="7" t="n">
        <v>0.03600000425292382</v>
      </c>
      <c r="J21" s="7" t="n">
        <v>0.03910800426568259</v>
      </c>
      <c r="K21" t="n">
        <v>5</v>
      </c>
      <c r="L21" s="7" t="n">
        <v>0.0379</v>
      </c>
      <c r="M21" s="7" t="n">
        <v>0.03815166755535054</v>
      </c>
      <c r="N21" s="3" t="n">
        <v>287288.6747512537</v>
      </c>
      <c r="O21" s="3" t="n">
        <v>374955.1392312443</v>
      </c>
    </row>
    <row r="22">
      <c r="A22" t="inlineStr">
        <is>
          <t>2026-06-17</t>
        </is>
      </c>
      <c r="B22" s="6" t="n">
        <v>3599490658.117702</v>
      </c>
      <c r="C22" s="6" t="n">
        <v>334970000</v>
      </c>
      <c r="D22" s="6" t="n">
        <v>111191712.9291975</v>
      </c>
      <c r="E22" s="6" t="n">
        <v>87494168.87930548</v>
      </c>
      <c r="F22" s="6" t="n">
        <v>83022107.32668166</v>
      </c>
      <c r="G22" s="6" t="n">
        <v>229984484.7397425</v>
      </c>
      <c r="H22" s="6" t="n">
        <v>2752828184.242775</v>
      </c>
      <c r="I22" s="7" t="n">
        <v>0.03600000425292382</v>
      </c>
      <c r="J22" s="7" t="n">
        <v>0.03910800426568259</v>
      </c>
      <c r="K22" t="n">
        <v>5</v>
      </c>
      <c r="L22" s="7" t="n">
        <v>0.0379</v>
      </c>
      <c r="M22" s="7" t="n">
        <v>0.03815166755535054</v>
      </c>
      <c r="N22" s="3" t="n">
        <v>286823.2598679045</v>
      </c>
      <c r="O22" s="3" t="n">
        <v>375814.8460627886</v>
      </c>
    </row>
    <row r="23">
      <c r="A23" t="inlineStr">
        <is>
          <t>2026-06-18</t>
        </is>
      </c>
      <c r="B23" s="6" t="n">
        <v>3567218340.698039</v>
      </c>
      <c r="C23" s="6" t="n">
        <v>334970000</v>
      </c>
      <c r="D23" s="6" t="n">
        <v>111208330.4988015</v>
      </c>
      <c r="E23" s="6" t="n">
        <v>90192905.40866883</v>
      </c>
      <c r="F23" s="6" t="n">
        <v>72783894.76899749</v>
      </c>
      <c r="G23" s="6" t="n">
        <v>229875387.3075938</v>
      </c>
      <c r="H23" s="6" t="n">
        <v>2728187822.713977</v>
      </c>
      <c r="I23" s="7" t="n">
        <v>0.03600000425292382</v>
      </c>
      <c r="J23" s="7" t="n">
        <v>0.03910800426568259</v>
      </c>
      <c r="K23" t="n">
        <v>5</v>
      </c>
      <c r="L23" s="7" t="n">
        <v>0.0379</v>
      </c>
      <c r="M23" s="7" t="n">
        <v>0.03815166755535054</v>
      </c>
      <c r="N23" s="3" t="n">
        <v>284233.3436680907</v>
      </c>
      <c r="O23" s="3" t="n">
        <v>372422.7449528664</v>
      </c>
    </row>
    <row r="24">
      <c r="A24" t="inlineStr">
        <is>
          <t>2026-06-19</t>
        </is>
      </c>
      <c r="B24" s="6" t="n">
        <v>3563985823.736927</v>
      </c>
      <c r="C24" s="6" t="n">
        <v>334970000</v>
      </c>
      <c r="D24" s="6" t="n">
        <v>111239147.7397517</v>
      </c>
      <c r="E24" s="6" t="n">
        <v>87813254.07817502</v>
      </c>
      <c r="F24" s="6" t="n">
        <v>74536322.96352261</v>
      </c>
      <c r="G24" s="6" t="n">
        <v>228544025.637105</v>
      </c>
      <c r="H24" s="6" t="n">
        <v>2726883073.318372</v>
      </c>
      <c r="I24" s="7" t="n">
        <v>0.03600000425292382</v>
      </c>
      <c r="J24" s="7" t="n">
        <v>0.03910800426568259</v>
      </c>
      <c r="K24" t="n">
        <v>5</v>
      </c>
      <c r="L24" s="7" t="n">
        <v>0.0379</v>
      </c>
      <c r="M24" s="7" t="n">
        <v>0.03815166755535054</v>
      </c>
      <c r="N24" s="3" t="n">
        <v>284096.2031641892</v>
      </c>
      <c r="O24" s="3" t="n">
        <v>372082.9793193966</v>
      </c>
    </row>
    <row r="25">
      <c r="A25" t="inlineStr">
        <is>
          <t>2026-06-20</t>
        </is>
      </c>
      <c r="B25" s="6" t="n">
        <v>3583209222.497198</v>
      </c>
      <c r="C25" s="6" t="n">
        <v>334970000</v>
      </c>
      <c r="D25" s="6" t="n">
        <v>9329831.659127628</v>
      </c>
      <c r="E25" s="6" t="n">
        <v>91452382.3922316</v>
      </c>
      <c r="F25" s="6" t="n">
        <v>66846210.05367263</v>
      </c>
      <c r="G25" s="6" t="n">
        <v>234890289.0773326</v>
      </c>
      <c r="H25" s="6" t="n">
        <v>2845720509.314834</v>
      </c>
      <c r="I25" s="7" t="n">
        <v>0.03600000425292382</v>
      </c>
      <c r="J25" s="7" t="n">
        <v>0.03910800426568259</v>
      </c>
      <c r="K25" t="n">
        <v>5</v>
      </c>
      <c r="L25" s="7" t="n">
        <v>0.0379</v>
      </c>
      <c r="M25" s="7" t="n">
        <v>0.03815166755535054</v>
      </c>
      <c r="N25" s="3" t="n">
        <v>296587.0507628279</v>
      </c>
      <c r="O25" s="3" t="n">
        <v>374103.5256415973</v>
      </c>
    </row>
    <row r="26">
      <c r="A26" t="inlineStr">
        <is>
          <t>2026-06-21</t>
        </is>
      </c>
      <c r="B26" s="6" t="n">
        <v>3579971151.524759</v>
      </c>
      <c r="C26" s="6" t="n">
        <v>334970000</v>
      </c>
      <c r="D26" s="6" t="n">
        <v>9334369.363633053</v>
      </c>
      <c r="E26" s="6" t="n">
        <v>91677504.76178636</v>
      </c>
      <c r="F26" s="6" t="n">
        <v>66039713.46030262</v>
      </c>
      <c r="G26" s="6" t="n">
        <v>234995824.5727294</v>
      </c>
      <c r="H26" s="6" t="n">
        <v>2842953739.366308</v>
      </c>
      <c r="I26" s="7" t="n">
        <v>0.03600000425292382</v>
      </c>
      <c r="J26" s="7" t="n">
        <v>0.03910800426568259</v>
      </c>
      <c r="K26" t="n">
        <v>5</v>
      </c>
      <c r="L26" s="7" t="n">
        <v>0.0379</v>
      </c>
      <c r="M26" s="7" t="n">
        <v>0.03815166755535054</v>
      </c>
      <c r="N26" s="3" t="n">
        <v>296296.2391892042</v>
      </c>
      <c r="O26" s="3" t="n">
        <v>373763.176233255</v>
      </c>
    </row>
    <row r="27">
      <c r="A27" t="inlineStr">
        <is>
          <t>2026-06-22</t>
        </is>
      </c>
      <c r="B27" s="6" t="n">
        <v>3564348013.244429</v>
      </c>
      <c r="C27" s="6" t="n">
        <v>334970000</v>
      </c>
      <c r="D27" s="6" t="n">
        <v>9332706.726220241</v>
      </c>
      <c r="E27" s="6" t="n">
        <v>57324084.49222599</v>
      </c>
      <c r="F27" s="6" t="n">
        <v>75557150.62153183</v>
      </c>
      <c r="G27" s="6" t="n">
        <v>244663090.2074062</v>
      </c>
      <c r="H27" s="6" t="n">
        <v>2842500981.197045</v>
      </c>
      <c r="I27" s="7" t="n">
        <v>0.03600000425292382</v>
      </c>
      <c r="J27" s="7" t="n">
        <v>0.03910800426568259</v>
      </c>
      <c r="K27" t="n">
        <v>5</v>
      </c>
      <c r="L27" s="7" t="n">
        <v>0.0385</v>
      </c>
      <c r="M27" s="7" t="n">
        <v>0.03862666755535054</v>
      </c>
      <c r="N27" s="3" t="n">
        <v>297502.0380628955</v>
      </c>
      <c r="O27" s="3" t="n">
        <v>373374.436278404</v>
      </c>
    </row>
    <row r="28">
      <c r="A28" t="inlineStr">
        <is>
          <t>2026-06-23</t>
        </is>
      </c>
      <c r="B28" s="6" t="n">
        <v>3554763751.20464</v>
      </c>
      <c r="C28" s="6" t="n">
        <v>334970000</v>
      </c>
      <c r="D28" s="6" t="n">
        <v>9342149.173642222</v>
      </c>
      <c r="E28" s="6" t="n">
        <v>58944069.04076159</v>
      </c>
      <c r="F28" s="6" t="n">
        <v>71777177.29413517</v>
      </c>
      <c r="G28" s="6" t="n">
        <v>240687318.9891957</v>
      </c>
      <c r="H28" s="6" t="n">
        <v>2839043036.706906</v>
      </c>
      <c r="I28" s="7" t="n">
        <v>0.03600000425292382</v>
      </c>
      <c r="J28" s="7" t="n">
        <v>0.03910800426568259</v>
      </c>
      <c r="K28" t="n">
        <v>5</v>
      </c>
      <c r="L28" s="7" t="n">
        <v>0.0385</v>
      </c>
      <c r="M28" s="7" t="n">
        <v>0.03862666755535054</v>
      </c>
      <c r="N28" s="3" t="n">
        <v>297138.5780364425</v>
      </c>
      <c r="O28" s="3" t="n">
        <v>372367.0470202919</v>
      </c>
    </row>
    <row r="29">
      <c r="A29" t="inlineStr">
        <is>
          <t>2026-06-24</t>
        </is>
      </c>
      <c r="B29" s="6" t="n">
        <v>3528723748.809498</v>
      </c>
      <c r="C29" s="6" t="n">
        <v>334970000</v>
      </c>
      <c r="D29" s="6" t="n">
        <v>9585296.355850186</v>
      </c>
      <c r="E29" s="6" t="n">
        <v>86175124.32988481</v>
      </c>
      <c r="F29" s="6" t="n">
        <v>51849352.42621429</v>
      </c>
      <c r="G29" s="6" t="n">
        <v>238646466.469051</v>
      </c>
      <c r="H29" s="6" t="n">
        <v>2807497509.228498</v>
      </c>
      <c r="I29" s="7" t="n">
        <v>0.03600000425292382</v>
      </c>
      <c r="J29" s="7" t="n">
        <v>0.03910800426568259</v>
      </c>
      <c r="K29" t="n">
        <v>5</v>
      </c>
      <c r="L29" s="7" t="n">
        <v>0.0385</v>
      </c>
      <c r="M29" s="7" t="n">
        <v>0.03862666755535054</v>
      </c>
      <c r="N29" s="3" t="n">
        <v>293822.8688674631</v>
      </c>
      <c r="O29" s="3" t="n">
        <v>369630.016398093</v>
      </c>
    </row>
    <row r="30">
      <c r="A30" t="inlineStr">
        <is>
          <t>2026-06-25</t>
        </is>
      </c>
      <c r="B30" s="6" t="n">
        <v>3597479049.913144</v>
      </c>
      <c r="C30" s="6" t="n">
        <v>334970000</v>
      </c>
      <c r="D30" s="6" t="n">
        <v>9580019.549208868</v>
      </c>
      <c r="E30" s="6" t="n">
        <v>120161291.8566851</v>
      </c>
      <c r="F30" s="6" t="n">
        <v>41985005.35481693</v>
      </c>
      <c r="G30" s="6" t="n">
        <v>269199092.0350934</v>
      </c>
      <c r="H30" s="6" t="n">
        <v>2821583641.11734</v>
      </c>
      <c r="I30" s="7" t="n">
        <v>0.03600000425292382</v>
      </c>
      <c r="J30" s="7" t="n">
        <v>0.03910800426568259</v>
      </c>
      <c r="K30" t="n">
        <v>5</v>
      </c>
      <c r="L30" s="7" t="n">
        <v>0.0385</v>
      </c>
      <c r="M30" s="7" t="n">
        <v>0.03862666755535054</v>
      </c>
      <c r="N30" s="3" t="n">
        <v>295303.4437822828</v>
      </c>
      <c r="O30" s="3" t="n">
        <v>376856.7962464038</v>
      </c>
    </row>
    <row r="31">
      <c r="A31" t="inlineStr">
        <is>
          <t>2026-06-26</t>
        </is>
      </c>
      <c r="B31" s="6" t="n">
        <v>3618341300.884195</v>
      </c>
      <c r="C31" s="6" t="n">
        <v>334970000</v>
      </c>
      <c r="D31" s="6" t="n">
        <v>9601695.233795444</v>
      </c>
      <c r="E31" s="6" t="n">
        <v>121838790.461726</v>
      </c>
      <c r="F31" s="6" t="n">
        <v>40314178.52852874</v>
      </c>
      <c r="G31" s="6" t="n">
        <v>277744609.8729502</v>
      </c>
      <c r="H31" s="6" t="n">
        <v>2833872026.787195</v>
      </c>
      <c r="I31" s="7" t="n">
        <v>0.03600000425292382</v>
      </c>
      <c r="J31" s="7" t="n">
        <v>0.03910800426568259</v>
      </c>
      <c r="K31" t="n">
        <v>5</v>
      </c>
      <c r="L31" s="7" t="n">
        <v>0.0385</v>
      </c>
      <c r="M31" s="7" t="n">
        <v>0.03862666755535054</v>
      </c>
      <c r="N31" s="3" t="n">
        <v>296595.0599413526</v>
      </c>
      <c r="O31" s="3" t="n">
        <v>379049.6001827974</v>
      </c>
    </row>
    <row r="32">
      <c r="A32" t="inlineStr">
        <is>
          <t>2026-06-27</t>
        </is>
      </c>
      <c r="B32" s="6" t="n">
        <v>3602525496.804652</v>
      </c>
      <c r="C32" s="6" t="n">
        <v>334970000</v>
      </c>
      <c r="D32" s="6" t="n">
        <v>9600955.315936545</v>
      </c>
      <c r="E32" s="6" t="n">
        <v>122284572.4321135</v>
      </c>
      <c r="F32" s="6" t="n">
        <v>39869042.06050103</v>
      </c>
      <c r="G32" s="6" t="n">
        <v>275445094.1148835</v>
      </c>
      <c r="H32" s="6" t="n">
        <v>2820355832.881217</v>
      </c>
      <c r="I32" s="7" t="n">
        <v>0.03600000425292382</v>
      </c>
      <c r="J32" s="7" t="n">
        <v>0.03910800426568259</v>
      </c>
      <c r="K32" t="n">
        <v>5</v>
      </c>
      <c r="L32" s="7" t="n">
        <v>0.0385</v>
      </c>
      <c r="M32" s="7" t="n">
        <v>0.03862666755535054</v>
      </c>
      <c r="N32" s="3" t="n">
        <v>295174.3904631064</v>
      </c>
      <c r="O32" s="3" t="n">
        <v>377387.2216843806</v>
      </c>
    </row>
    <row r="33">
      <c r="A33" t="inlineStr">
        <is>
          <t>2026-06-28</t>
        </is>
      </c>
      <c r="B33" s="6" t="n">
        <v>3602248965.388133</v>
      </c>
      <c r="C33" s="6" t="n">
        <v>334970000</v>
      </c>
      <c r="D33" s="6" t="n">
        <v>9618262.413955124</v>
      </c>
      <c r="E33" s="6" t="n">
        <v>121486092.0083568</v>
      </c>
      <c r="F33" s="6" t="n">
        <v>40672778.77551679</v>
      </c>
      <c r="G33" s="6" t="n">
        <v>275142578.7506528</v>
      </c>
      <c r="H33" s="6" t="n">
        <v>2820359253.439651</v>
      </c>
      <c r="I33" s="7" t="n">
        <v>0.03600000425292382</v>
      </c>
      <c r="J33" s="7" t="n">
        <v>0.03910800426568259</v>
      </c>
      <c r="K33" t="n">
        <v>5</v>
      </c>
      <c r="L33" s="7" t="n">
        <v>0.0385</v>
      </c>
      <c r="M33" s="7" t="n">
        <v>0.03862666755535054</v>
      </c>
      <c r="N33" s="3" t="n">
        <v>295174.7499935334</v>
      </c>
      <c r="O33" s="3" t="n">
        <v>377358.1558285666</v>
      </c>
    </row>
    <row r="34">
      <c r="A34" t="inlineStr">
        <is>
          <t>2026-06-29</t>
        </is>
      </c>
      <c r="B34" s="6" t="n">
        <v>3581095095.386496</v>
      </c>
      <c r="C34" s="6" t="n">
        <v>334970000</v>
      </c>
      <c r="D34" s="6" t="n">
        <v>9618168.084080251</v>
      </c>
      <c r="E34" s="6" t="n">
        <v>118967404.4272955</v>
      </c>
      <c r="F34" s="6" t="n">
        <v>43189255.42830983</v>
      </c>
      <c r="G34" s="6" t="n">
        <v>268307675.2718963</v>
      </c>
      <c r="H34" s="6" t="n">
        <v>2806042592.174914</v>
      </c>
      <c r="I34" s="7" t="n">
        <v>0.03600000425292382</v>
      </c>
      <c r="J34" s="7" t="n">
        <v>0.03910800426568259</v>
      </c>
      <c r="K34" t="n">
        <v>5</v>
      </c>
      <c r="L34" s="7" t="n">
        <v>0.0387</v>
      </c>
      <c r="M34" s="7" t="n">
        <v>0.03878500088868388</v>
      </c>
      <c r="N34" s="3" t="n">
        <v>294087.6133054312</v>
      </c>
      <c r="O34" s="3" t="n">
        <v>375552.3690651191</v>
      </c>
    </row>
    <row r="35">
      <c r="A35" t="inlineStr">
        <is>
          <t>2026-06-30</t>
        </is>
      </c>
      <c r="B35" s="6" t="n">
        <v>3588257408.574023</v>
      </c>
      <c r="C35" s="6" t="n">
        <v>436845703.611569</v>
      </c>
      <c r="D35" s="6" t="n">
        <v>9619220.677902261</v>
      </c>
      <c r="E35" s="6" t="n">
        <v>115633571.5610364</v>
      </c>
      <c r="F35" s="6" t="n">
        <v>46519200.01361789</v>
      </c>
      <c r="G35" s="6" t="n">
        <v>268672569.1184176</v>
      </c>
      <c r="H35" s="6" t="n">
        <v>2710967143.59148</v>
      </c>
      <c r="I35" s="7" t="n">
        <v>0.03600000425292382</v>
      </c>
      <c r="J35" s="7" t="n">
        <v>0.03910800426568259</v>
      </c>
      <c r="K35" t="n">
        <v>5</v>
      </c>
      <c r="L35" s="7" t="n">
        <v>0.0387</v>
      </c>
      <c r="M35" s="7" t="n">
        <v>0.03878500088868388</v>
      </c>
      <c r="N35" s="3" t="n">
        <v>284094.3571511732</v>
      </c>
      <c r="O35" s="3" t="n">
        <v>376305.1904444174</v>
      </c>
    </row>
    <row r="37">
      <c r="A37" s="8" t="inlineStr">
        <is>
          <t>Σ daily charges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s="12" t="n">
        <v>9224870.040074628</v>
      </c>
      <c r="O37" s="12" t="n">
        <v>11789933.3682553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2026-07-30T23:27:05Z</dcterms:created>
  <dcterms:modified xsi:type="dcterms:W3CDTF">2026-07-30T23:27:05Z</dcterms:modified>
</cp:coreProperties>
</file>