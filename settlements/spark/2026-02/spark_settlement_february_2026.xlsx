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10291414.08057346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1014600.24</v>
      </c>
    </row>
    <row r="7">
      <c r="A7" t="inlineStr"/>
      <c r="B7" s="4" t="n">
        <v>11420987.81676814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7486766.172836288</v>
      </c>
    </row>
    <row r="11">
      <c r="A11" t="inlineStr">
        <is>
          <t>+ SDE revenue (Sky-Direct, full to Sky)</t>
        </is>
      </c>
      <c r="B11" s="3" t="n">
        <v>3733.877754048192</v>
      </c>
    </row>
    <row r="12">
      <c r="A12" t="inlineStr"/>
      <c r="B12" s="4" t="n">
        <v>7490500.050590336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7486766.172836288</v>
      </c>
    </row>
    <row r="16">
      <c r="A16" t="inlineStr">
        <is>
          <t>reduction from idle/SDE deductions</t>
        </is>
      </c>
      <c r="B16" s="3" t="n">
        <v>-2566219.823131723</v>
      </c>
    </row>
    <row r="17">
      <c r="A17" t="inlineStr"/>
      <c r="B17" s="4" t="n">
        <v>10052985.99596801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10291414.08057346</v>
      </c>
    </row>
    <row r="23">
      <c r="A23" t="inlineStr">
        <is>
          <t>− CoF (deducted per-venue in display)</t>
        </is>
      </c>
      <c r="B23" s="3" t="n">
        <v>-7486766.172836288</v>
      </c>
    </row>
    <row r="24">
      <c r="A24" t="inlineStr"/>
      <c r="B24" s="4" t="n">
        <v>1689699.935517194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2026-06-25T22:32:25+00:00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1138527.930917541</v>
      </c>
      <c r="I2" s="6" t="n">
        <v>0</v>
      </c>
      <c r="J2" s="6" t="n">
        <v>1138527.930917541</v>
      </c>
      <c r="K2" s="6" t="n">
        <v>0</v>
      </c>
      <c r="L2" s="6" t="n">
        <v>593328991.80363</v>
      </c>
      <c r="M2" s="7" t="n">
        <v>1</v>
      </c>
      <c r="N2" s="6" t="n">
        <v>1565215.730374914</v>
      </c>
      <c r="O2" s="6" t="n">
        <v>1565215.730374914</v>
      </c>
      <c r="P2" s="6" t="n">
        <v>-426687.799457373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1384838.178869249</v>
      </c>
      <c r="O3" s="6" t="n">
        <v>1384838.178869249</v>
      </c>
      <c r="P3" s="6" t="n">
        <v>1440161.821130751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1203728.569731251</v>
      </c>
      <c r="O4" s="6" t="n">
        <v>1203728.569731251</v>
      </c>
      <c r="P4" s="6" t="n">
        <v>49370.00407601542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616396.3362089024</v>
      </c>
      <c r="O5" s="6" t="n">
        <v>616396.3362089024</v>
      </c>
      <c r="P5" s="6" t="n">
        <v>102019.1441781324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593355.3173754496</v>
      </c>
      <c r="O6" s="6" t="n">
        <v>593355.3173754496</v>
      </c>
      <c r="P6" s="6" t="n">
        <v>-180910.5203734495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517751.4338739319</v>
      </c>
      <c r="O7" s="6" t="n">
        <v>472651.0486923354</v>
      </c>
      <c r="P7" s="6" t="n">
        <v>73642.44708379809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451534.6230678736</v>
      </c>
      <c r="O8" s="6" t="n">
        <v>451534.6230678736</v>
      </c>
      <c r="P8" s="6" t="n">
        <v>130879.8131372471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263802.2665402248</v>
      </c>
      <c r="O9" s="6" t="n">
        <v>263802.2665402248</v>
      </c>
      <c r="P9" s="6" t="n">
        <v>-250975.6168513072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263785.7668215087</v>
      </c>
      <c r="O10" s="6" t="n">
        <v>263785.7668215087</v>
      </c>
      <c r="P10" s="6" t="n">
        <v>-202472.7797845087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266722.3963774357</v>
      </c>
      <c r="O11" s="6" t="n">
        <v>243488.6938202549</v>
      </c>
      <c r="P11" s="6" t="n">
        <v>37937.29708157951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198060.9047933366</v>
      </c>
      <c r="O12" s="6" t="n">
        <v>180808.179815331</v>
      </c>
      <c r="P12" s="6" t="n">
        <v>28171.22029287117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115569.539031945</v>
      </c>
      <c r="O13" s="6" t="n">
        <v>115569.539031945</v>
      </c>
      <c r="P13" s="6" t="n">
        <v>-11760.91824494497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88012.01357885409</v>
      </c>
      <c r="O14" s="6" t="n">
        <v>88012.01357885409</v>
      </c>
      <c r="P14" s="6" t="n">
        <v>13934.96786235993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34616.22938451851</v>
      </c>
      <c r="O16" s="6" t="n">
        <v>34616.22938451851</v>
      </c>
      <c r="P16" s="6" t="n">
        <v>23847.92927006701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26380.87196231475</v>
      </c>
      <c r="O17" s="6" t="n">
        <v>26380.87196231475</v>
      </c>
      <c r="P17" s="6" t="n">
        <v>-6958.774598314753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13323.41401375031</v>
      </c>
      <c r="O18" s="6" t="n">
        <v>13323.41401375031</v>
      </c>
      <c r="P18" s="6" t="n">
        <v>-13323.41401375595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13220.95059076399</v>
      </c>
      <c r="O19" s="6" t="n">
        <v>13220.95059076399</v>
      </c>
      <c r="P19" s="6" t="n">
        <v>-13220.95059076186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13149.67075707729</v>
      </c>
      <c r="O20" s="6" t="n">
        <v>13149.67075707729</v>
      </c>
      <c r="P20" s="6" t="n">
        <v>-13149.67075707719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12968.50860003831</v>
      </c>
      <c r="O21" s="6" t="n">
        <v>12968.50860003831</v>
      </c>
      <c r="P21" s="6" t="n">
        <v>-12968.50860004081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2574.024470289222</v>
      </c>
      <c r="O23" s="6" t="n">
        <v>2574.024470289222</v>
      </c>
      <c r="P23" s="6" t="n">
        <v>-313.1527524846144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2567.892153520429</v>
      </c>
      <c r="O24" s="6" t="n">
        <v>2344.207741172148</v>
      </c>
      <c r="P24" s="6" t="n">
        <v>365.2444969926905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183.0918692379921</v>
      </c>
      <c r="O25" s="6" t="n">
        <v>183.0918692379921</v>
      </c>
      <c r="P25" s="6" t="n">
        <v>-183.0918692380821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1.421227051141632</v>
      </c>
      <c r="O26" s="6" t="n">
        <v>1.421227051141632</v>
      </c>
      <c r="P26" s="6" t="n">
        <v>-1.421227072979832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1.316795040594249</v>
      </c>
      <c r="O27" s="6" t="n">
        <v>1.316795040594249</v>
      </c>
      <c r="P27" s="6" t="n">
        <v>-0.09971490667994179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0.8873926203238416</v>
      </c>
      <c r="O28" s="6" t="n">
        <v>0.8873926203238416</v>
      </c>
      <c r="P28" s="6" t="n">
        <v>0.3748563902094886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0.7489275694519881</v>
      </c>
      <c r="O29" s="6" t="n">
        <v>0.7489275694519881</v>
      </c>
      <c r="P29" s="6" t="n">
        <v>-0.7489275694519881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0.260128290762624</v>
      </c>
      <c r="O30" s="6" t="n">
        <v>0.260128290762624</v>
      </c>
      <c r="P30" s="6" t="n">
        <v>0.01391390617716923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0.05778982635471135</v>
      </c>
      <c r="O31" s="6" t="n">
        <v>0.05778982635471135</v>
      </c>
      <c r="P31" s="6" t="n">
        <v>-0.05777957030730669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0.003193548850495581</v>
      </c>
      <c r="O32" s="6" t="n">
        <v>0.003193548850495581</v>
      </c>
      <c r="P32" s="6" t="n">
        <v>-0.003183548850495582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0.0001513011908065228</v>
      </c>
      <c r="O33" s="6" t="n">
        <v>0.0001513011908065228</v>
      </c>
      <c r="P33" s="6" t="n">
        <v>-4.230119080652278e-05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1.664592729346094e-05</v>
      </c>
      <c r="O34" s="6" t="n">
        <v>1.664592729346094e-05</v>
      </c>
      <c r="P34" s="6" t="n">
        <v>-7.645927293460939e-06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1.514059166015887e-05</v>
      </c>
      <c r="O35" s="6" t="n">
        <v>1.514059166015887e-05</v>
      </c>
      <c r="P35" s="6" t="n">
        <v>-1.381409595172287e-05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4.452983402751516e-06</v>
      </c>
      <c r="O36" s="6" t="n">
        <v>4.452983402751516e-06</v>
      </c>
      <c r="P36" s="6" t="n">
        <v>-4.52983402751516e-07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3.271530589331472e-06</v>
      </c>
      <c r="O37" s="6" t="n">
        <v>3.271530589331472e-06</v>
      </c>
      <c r="P37" s="6" t="n">
        <v>-3.271530589331472e-06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1.367612055930483e-06</v>
      </c>
      <c r="O38" s="6" t="n">
        <v>1.367612055930483e-06</v>
      </c>
      <c r="P38" s="6" t="n">
        <v>-5.453135964354829e-07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1.975781241118573e-07</v>
      </c>
      <c r="O39" s="6" t="n">
        <v>1.975781241118573e-07</v>
      </c>
      <c r="P39" s="6" t="n">
        <v>-1.975781241118573e-07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2508076304.951767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1508076304.951767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0.04055229619917895</v>
      </c>
    </row>
    <row r="12">
      <c r="A12" s="8" t="inlineStr">
        <is>
          <t>Diff vs base rate (bps)</t>
        </is>
      </c>
      <c r="B12" s="11" t="n">
        <v>-25.6770569728142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8122887.021486939</v>
      </c>
    </row>
    <row r="16">
      <c r="A16" t="inlineStr">
        <is>
          <t xml:space="preserve">  − actual CoF (subsidy on first tranche)</t>
        </is>
      </c>
      <c r="B16" s="3" t="n">
        <v>7647762.426092711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1508076304.951767</v>
      </c>
      <c r="C21" s="3" t="n">
        <v>4884194.879047058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7486766.172836288</v>
      </c>
    </row>
    <row r="25">
      <c r="A25" t="inlineStr">
        <is>
          <t>+ Sky-Direct revenue (full venue yield on fixed/capped SDE)</t>
        </is>
      </c>
      <c r="B25" s="3" t="n">
        <v>3733.877754048192</v>
      </c>
    </row>
    <row r="26">
      <c r="A26" t="inlineStr">
        <is>
          <t>equals sky_revenue (total Sky take this month)</t>
        </is>
      </c>
      <c r="B26" s="3" t="n">
        <v>7490500.050590336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7486766.172836288</v>
      </c>
    </row>
    <row r="32">
      <c r="A32" t="inlineStr">
        <is>
          <t xml:space="preserve">    ↳ reduction from idle/SDE deductions</t>
        </is>
      </c>
      <c r="B32" s="3" t="n">
        <v>-2566219.823131723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273652.5918196291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276383.7951842653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277925.7412489351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277404.2502455133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274754.2147051196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272713.5836911454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272869.9691178096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272649.5551696609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269015.2705265231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281598.908458688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7647762.426092711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2026-06-26T01:08:02Z</dcterms:created>
  <dcterms:modified xmlns:dcterms="http://purl.org/dc/terms/" xmlns:xsi="http://www.w3.org/2001/XMLSchema-instance" xsi:type="dcterms:W3CDTF">2026-06-26T01:08:02Z</dcterms:modified>
</cp:coreProperties>
</file>