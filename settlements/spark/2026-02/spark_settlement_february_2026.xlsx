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10291414.08057537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11428640.93677005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7518418.384692316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7522149.664082923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7518418.384692316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10085147.14136574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10291414.08057537</v>
      </c>
    </row>
    <row r="23">
      <c r="A23" t="inlineStr">
        <is>
          <t>− CoF (deducted per-venue in display)</t>
        </is>
      </c>
      <c r="B23" s="3" t="n">
        <v>-7518418.384692316</v>
      </c>
    </row>
    <row r="24">
      <c r="A24" t="inlineStr"/>
      <c r="B24" s="4" t="n">
        <v>1658047.72366308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2026-07-30T23:08:02+00:00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1571725.53174897</v>
      </c>
      <c r="O2" s="6" t="n">
        <v>1571725.53174897</v>
      </c>
      <c r="P2" s="6" t="n">
        <v>-433197.6008314866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1390597.78203749</v>
      </c>
      <c r="O3" s="6" t="n">
        <v>1390597.78203749</v>
      </c>
      <c r="P3" s="6" t="n">
        <v>1434402.21796251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1208734.930033642</v>
      </c>
      <c r="O4" s="6" t="n">
        <v>1208734.930033642</v>
      </c>
      <c r="P4" s="6" t="n">
        <v>44363.64377362438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618959.9558036625</v>
      </c>
      <c r="O5" s="6" t="n">
        <v>618959.9558036625</v>
      </c>
      <c r="P5" s="6" t="n">
        <v>99455.52458337236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412444.797003</v>
      </c>
      <c r="I6" s="6" t="n">
        <v>0</v>
      </c>
      <c r="J6" s="6" t="n">
        <v>412444.797003</v>
      </c>
      <c r="K6" s="6" t="n">
        <v>0</v>
      </c>
      <c r="L6" s="6" t="n">
        <v>224924210.3868782</v>
      </c>
      <c r="M6" s="7" t="n">
        <v>1</v>
      </c>
      <c r="N6" s="6" t="n">
        <v>595823.1083549261</v>
      </c>
      <c r="O6" s="6" t="n">
        <v>595823.1083549261</v>
      </c>
      <c r="P6" s="6" t="n">
        <v>-183378.3113519261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519904.7849617367</v>
      </c>
      <c r="O7" s="6" t="n">
        <v>474804.3997801403</v>
      </c>
      <c r="P7" s="6" t="n">
        <v>71489.0959959933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453412.5755140691</v>
      </c>
      <c r="O8" s="6" t="n">
        <v>453412.5755140691</v>
      </c>
      <c r="P8" s="6" t="n">
        <v>129001.8606910516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264899.4318215828</v>
      </c>
      <c r="O9" s="6" t="n">
        <v>264899.4318215828</v>
      </c>
      <c r="P9" s="6" t="n">
        <v>-252072.7821326652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264882.8634798075</v>
      </c>
      <c r="O10" s="6" t="n">
        <v>264882.8634798075</v>
      </c>
      <c r="P10" s="6" t="n">
        <v>-203569.8764428075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267831.7066077983</v>
      </c>
      <c r="O11" s="6" t="n">
        <v>244598.0040506175</v>
      </c>
      <c r="P11" s="6" t="n">
        <v>36827.98685121693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198884.6488467276</v>
      </c>
      <c r="O12" s="6" t="n">
        <v>181631.923868722</v>
      </c>
      <c r="P12" s="6" t="n">
        <v>27347.47623948014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116050.1978506555</v>
      </c>
      <c r="O13" s="6" t="n">
        <v>116050.1978506555</v>
      </c>
      <c r="P13" s="6" t="n">
        <v>-12241.57706365552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88378.05943171031</v>
      </c>
      <c r="O14" s="6" t="n">
        <v>88378.05943171031</v>
      </c>
      <c r="P14" s="6" t="n">
        <v>13568.92200950371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34760.19981187808</v>
      </c>
      <c r="O16" s="6" t="n">
        <v>34760.19981187808</v>
      </c>
      <c r="P16" s="6" t="n">
        <v>23703.95884270745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19422.097365</v>
      </c>
      <c r="I17" s="6" t="n">
        <v>0</v>
      </c>
      <c r="J17" s="6" t="n">
        <v>19422.097365</v>
      </c>
      <c r="K17" s="6" t="n">
        <v>0</v>
      </c>
      <c r="L17" s="6" t="n">
        <v>10000242.05005375</v>
      </c>
      <c r="M17" s="7" t="n">
        <v>1</v>
      </c>
      <c r="N17" s="6" t="n">
        <v>26490.59117431615</v>
      </c>
      <c r="O17" s="6" t="n">
        <v>26490.59117431615</v>
      </c>
      <c r="P17" s="6" t="n">
        <v>-7068.493809316149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13244.97499246719</v>
      </c>
      <c r="O18" s="6" t="n">
        <v>13244.97499246719</v>
      </c>
      <c r="P18" s="6" t="n">
        <v>-13244.97499246719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13244.75416347064</v>
      </c>
      <c r="O19" s="6" t="n">
        <v>13244.75416347064</v>
      </c>
      <c r="P19" s="6" t="n">
        <v>-13244.75416347064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13230.20288297081</v>
      </c>
      <c r="O20" s="6" t="n">
        <v>13230.20288297081</v>
      </c>
      <c r="P20" s="6" t="n">
        <v>-13230.20288297081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13191.57151493757</v>
      </c>
      <c r="O21" s="6" t="n">
        <v>13191.57151493757</v>
      </c>
      <c r="P21" s="6" t="n">
        <v>-13191.57151493757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2584.729951781878</v>
      </c>
      <c r="O23" s="6" t="n">
        <v>2584.729951781878</v>
      </c>
      <c r="P23" s="6" t="n">
        <v>-323.8582339772704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2578.572130436718</v>
      </c>
      <c r="O24" s="6" t="n">
        <v>2354.887718088436</v>
      </c>
      <c r="P24" s="6" t="n">
        <v>354.5645200764025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1.322271649347226</v>
      </c>
      <c r="O26" s="6" t="n">
        <v>1.322271649347226</v>
      </c>
      <c r="P26" s="6" t="n">
        <v>-0.1051915173990273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0.8910833254368854</v>
      </c>
      <c r="O27" s="6" t="n">
        <v>0.8910833254368854</v>
      </c>
      <c r="P27" s="6" t="n">
        <v>0.3711656850964448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0.7520423923010526</v>
      </c>
      <c r="O28" s="6" t="n">
        <v>0.7520423923010526</v>
      </c>
      <c r="P28" s="6" t="n">
        <v>-0.7520423923010526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0.2612101758164062</v>
      </c>
      <c r="O29" s="6" t="n">
        <v>0.2612101758164062</v>
      </c>
      <c r="P29" s="6" t="n">
        <v>0.01283202112338705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0.176795973494158</v>
      </c>
      <c r="O30" s="6" t="n">
        <v>0.176795973494158</v>
      </c>
      <c r="P30" s="6" t="n">
        <v>-0.176795973494158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0.05803017679568236</v>
      </c>
      <c r="O31" s="6" t="n">
        <v>0.05803017679568236</v>
      </c>
      <c r="P31" s="6" t="n">
        <v>-0.05801992074827769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0.00320683096125618</v>
      </c>
      <c r="O33" s="6" t="n">
        <v>0.00320683096125618</v>
      </c>
      <c r="P33" s="6" t="n">
        <v>-0.00319683096125618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0.0001519304591435926</v>
      </c>
      <c r="O34" s="6" t="n">
        <v>0.0001519304591435926</v>
      </c>
      <c r="P34" s="6" t="n">
        <v>-4.293045914359264e-05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1.671515844049359e-05</v>
      </c>
      <c r="O35" s="6" t="n">
        <v>1.671515844049359e-05</v>
      </c>
      <c r="P35" s="6" t="n">
        <v>-7.715158440493594e-06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1.520356204978671e-05</v>
      </c>
      <c r="O36" s="6" t="n">
        <v>1.520356204978671e-05</v>
      </c>
      <c r="P36" s="6" t="n">
        <v>-1.387706634135071e-05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4.471503557456923e-06</v>
      </c>
      <c r="O37" s="6" t="n">
        <v>4.471503557456923e-06</v>
      </c>
      <c r="P37" s="6" t="n">
        <v>-4.715035574569233e-07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3.285137029589132e-06</v>
      </c>
      <c r="O38" s="6" t="n">
        <v>3.285137029589132e-06</v>
      </c>
      <c r="P38" s="6" t="n">
        <v>-3.285137029589132e-06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8.22298459496e-07</v>
      </c>
      <c r="I39" s="6" t="n">
        <v>0</v>
      </c>
      <c r="J39" s="6" t="n">
        <v>8.22298459496e-07</v>
      </c>
      <c r="K39" s="6" t="n">
        <v>0</v>
      </c>
      <c r="L39" s="6" t="n">
        <v>0.000518423030497757</v>
      </c>
      <c r="M39" s="7" t="n">
        <v>1</v>
      </c>
      <c r="N39" s="6" t="n">
        <v>1.373300014892369e-06</v>
      </c>
      <c r="O39" s="6" t="n">
        <v>1.373300014892369e-06</v>
      </c>
      <c r="P39" s="6" t="n">
        <v>-5.510015553963693e-07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1.983998602590648e-07</v>
      </c>
      <c r="O40" s="6" t="n">
        <v>1.983998602590648e-07</v>
      </c>
      <c r="P40" s="6" t="n">
        <v>-1.983998602590648e-07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0.03685357142857143</v>
      </c>
    </row>
    <row r="10">
      <c r="A10" t="inlineStr">
        <is>
          <t>Subsidised rate (BR*), period avg</t>
        </is>
      </c>
      <c r="B10" s="7" t="n">
        <v>0.0371146726980668</v>
      </c>
    </row>
    <row r="11">
      <c r="A11" s="8" t="inlineStr">
        <is>
          <t>Effective blended rate charged</t>
        </is>
      </c>
      <c r="B11" s="10" t="n">
        <v>0.04072545533915744</v>
      </c>
    </row>
    <row r="12">
      <c r="A12" s="8" t="inlineStr">
        <is>
          <t>Diff vs base rate (bps)</t>
        </is>
      </c>
      <c r="B12" s="11" t="n">
        <v>-23.9454655730293</v>
      </c>
    </row>
    <row r="13">
      <c r="A13" s="8" t="inlineStr">
        <is>
          <t>Subsidy benefit to prime (USD)</t>
        </is>
      </c>
      <c r="B13" s="12" t="n">
        <v>442963.4499965028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7679414.637948738</v>
      </c>
    </row>
    <row r="17">
      <c r="A17" s="8" t="inlineStr">
        <is>
          <t xml:space="preserve">  = subsidy benefit</t>
        </is>
      </c>
      <c r="B17" s="12" t="n">
        <v>442963.4499965028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2795728.692443378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7518418.384692316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7522149.664082923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10085147.14136574</v>
      </c>
    </row>
    <row r="31">
      <c r="A31" t="inlineStr">
        <is>
          <t xml:space="preserve">    ↳ actual CoF on Net_Subs (BR × utilized)</t>
        </is>
      </c>
      <c r="B31" s="3" t="n">
        <v>7518418.384692316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0.0367</v>
      </c>
      <c r="M6" s="7" t="n">
        <v>0.03696750007901918</v>
      </c>
      <c r="N6" s="3" t="n">
        <v>272505.1331893649</v>
      </c>
      <c r="O6" s="3" t="n">
        <v>365804.9162559443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0.0369</v>
      </c>
      <c r="M7" s="7" t="n">
        <v>0.03715916674568585</v>
      </c>
      <c r="N7" s="3" t="n">
        <v>268400.3839424823</v>
      </c>
      <c r="O7" s="3" t="n">
        <v>360199.5289908347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0.0369</v>
      </c>
      <c r="M8" s="7" t="n">
        <v>0.03715916674568585</v>
      </c>
      <c r="N8" s="3" t="n">
        <v>271984.2895623196</v>
      </c>
      <c r="O8" s="3" t="n">
        <v>363896.7389398698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0.0369</v>
      </c>
      <c r="M9" s="7" t="n">
        <v>0.03715916674568585</v>
      </c>
      <c r="N9" s="3" t="n">
        <v>272560.7026797382</v>
      </c>
      <c r="O9" s="3" t="n">
        <v>364103.2847530931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0.0367</v>
      </c>
      <c r="M10" s="7" t="n">
        <v>0.03696750007901918</v>
      </c>
      <c r="N10" s="3" t="n">
        <v>263386.1668083303</v>
      </c>
      <c r="O10" s="3" t="n">
        <v>353045.183371658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0.0368</v>
      </c>
      <c r="M11" s="7" t="n">
        <v>0.03706333341235252</v>
      </c>
      <c r="N11" s="3" t="n">
        <v>260072.6923424415</v>
      </c>
      <c r="O11" s="3" t="n">
        <v>344878.657586317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0.0368</v>
      </c>
      <c r="M12" s="7" t="n">
        <v>0.03706333341235252</v>
      </c>
      <c r="N12" s="3" t="n">
        <v>259923.4572850037</v>
      </c>
      <c r="O12" s="3" t="n">
        <v>343615.4126506665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0.0368</v>
      </c>
      <c r="M13" s="7" t="n">
        <v>0.03706333341235252</v>
      </c>
      <c r="N13" s="3" t="n">
        <v>261288.2075856496</v>
      </c>
      <c r="O13" s="3" t="n">
        <v>343613.7822995228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0.0369</v>
      </c>
      <c r="M14" s="7" t="n">
        <v>0.03715916674568585</v>
      </c>
      <c r="N14" s="3" t="n">
        <v>274581.3478672199</v>
      </c>
      <c r="O14" s="3" t="n">
        <v>358213.3315583441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0.0369</v>
      </c>
      <c r="M15" s="7" t="n">
        <v>0.03715916674568585</v>
      </c>
      <c r="N15" s="3" t="n">
        <v>276562.7440067974</v>
      </c>
      <c r="O15" s="3" t="n">
        <v>360260.2472882413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0.037</v>
      </c>
      <c r="M16" s="7" t="n">
        <v>0.03725500007901918</v>
      </c>
      <c r="N16" s="3" t="n">
        <v>279654.7275183876</v>
      </c>
      <c r="O16" s="3" t="n">
        <v>364868.9070723901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0.037</v>
      </c>
      <c r="M17" s="7" t="n">
        <v>0.03725500007901918</v>
      </c>
      <c r="N17" s="3" t="n">
        <v>280278.8859924942</v>
      </c>
      <c r="O17" s="3" t="n">
        <v>363818.738822389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0.0368</v>
      </c>
      <c r="M18" s="7" t="n">
        <v>0.03706333341235252</v>
      </c>
      <c r="N18" s="3" t="n">
        <v>282032.8913663778</v>
      </c>
      <c r="O18" s="3" t="n">
        <v>364708.0341571515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0.0368</v>
      </c>
      <c r="M19" s="7" t="n">
        <v>0.03706333341235252</v>
      </c>
      <c r="N19" s="3" t="n">
        <v>277482.5487182758</v>
      </c>
      <c r="O19" s="3" t="n">
        <v>361053.4683233606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0.0368</v>
      </c>
      <c r="M20" s="7" t="n">
        <v>0.03706333341235252</v>
      </c>
      <c r="N20" s="3" t="n">
        <v>274169.8267297408</v>
      </c>
      <c r="O20" s="3" t="n">
        <v>357408.9586272397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0.0368</v>
      </c>
      <c r="M21" s="7" t="n">
        <v>0.03706333341235252</v>
      </c>
      <c r="N21" s="3" t="n">
        <v>283397.3008498663</v>
      </c>
      <c r="O21" s="3" t="n">
        <v>365989.477407501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0.0369</v>
      </c>
      <c r="M22" s="7" t="n">
        <v>0.03715916674568585</v>
      </c>
      <c r="N22" s="3" t="n">
        <v>282216.4554618847</v>
      </c>
      <c r="O22" s="3" t="n">
        <v>366486.3244234578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0.037</v>
      </c>
      <c r="M23" s="7" t="n">
        <v>0.03725500007901918</v>
      </c>
      <c r="N23" s="3" t="n">
        <v>279062.218397059</v>
      </c>
      <c r="O23" s="3" t="n">
        <v>363352.8901920812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0.0369</v>
      </c>
      <c r="M24" s="7" t="n">
        <v>0.03715916674568585</v>
      </c>
      <c r="N24" s="3" t="n">
        <v>274867.8672735754</v>
      </c>
      <c r="O24" s="3" t="n">
        <v>363429.1103622073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0.0369</v>
      </c>
      <c r="M25" s="7" t="n">
        <v>0.03715916674568585</v>
      </c>
      <c r="N25" s="3" t="n">
        <v>277599.0710365231</v>
      </c>
      <c r="O25" s="3" t="n">
        <v>366202.5251387918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0.0369</v>
      </c>
      <c r="M26" s="7" t="n">
        <v>0.03715916674568585</v>
      </c>
      <c r="N26" s="3" t="n">
        <v>279141.0171655883</v>
      </c>
      <c r="O26" s="3" t="n">
        <v>366481.8316925866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0.0369</v>
      </c>
      <c r="M27" s="7" t="n">
        <v>0.03715916674568585</v>
      </c>
      <c r="N27" s="3" t="n">
        <v>278619.5260550141</v>
      </c>
      <c r="O27" s="3" t="n">
        <v>365790.3087421195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0.0369</v>
      </c>
      <c r="M28" s="7" t="n">
        <v>0.03715916674568585</v>
      </c>
      <c r="N28" s="3" t="n">
        <v>275969.4907177759</v>
      </c>
      <c r="O28" s="3" t="n">
        <v>364380.2940783274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0.0369</v>
      </c>
      <c r="M29" s="7" t="n">
        <v>0.03715916674568585</v>
      </c>
      <c r="N29" s="3" t="n">
        <v>273928.8599421923</v>
      </c>
      <c r="O29" s="3" t="n">
        <v>359991.8913126069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0.0369</v>
      </c>
      <c r="M30" s="7" t="n">
        <v>0.03715916674568585</v>
      </c>
      <c r="N30" s="3" t="n">
        <v>274085.2450761577</v>
      </c>
      <c r="O30" s="3" t="n">
        <v>358113.6523522606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0.0368</v>
      </c>
      <c r="M31" s="7" t="n">
        <v>0.03706333341235252</v>
      </c>
      <c r="N31" s="3" t="n">
        <v>273611.6442403331</v>
      </c>
      <c r="O31" s="3" t="n">
        <v>357256.2937950286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0.0367</v>
      </c>
      <c r="M32" s="7" t="n">
        <v>0.03696750007901918</v>
      </c>
      <c r="N32" s="3" t="n">
        <v>269724.149113656</v>
      </c>
      <c r="O32" s="3" t="n">
        <v>354405.8020755793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0.0367</v>
      </c>
      <c r="M33" s="7" t="n">
        <v>0.03696750007901918</v>
      </c>
      <c r="N33" s="3" t="n">
        <v>282307.7870244891</v>
      </c>
      <c r="O33" s="3" t="n">
        <v>363777.5490961652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7679414.637948738</v>
      </c>
      <c r="O35" s="12" t="n">
        <v>10085147.14136574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2026-07-30T23:08:03Z</dcterms:created>
  <dcterms:modified xsi:type="dcterms:W3CDTF">2026-07-30T23:08:03Z</dcterms:modified>
</cp:coreProperties>
</file>