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10291414.08057537</v>
      </c>
    </row>
    <row r="5">
      <c r="A5" t="inlineStr">
        <is>
          <t>+ agent_rate (subproxy USDS / sUSDS yield)</t>
        </is>
      </c>
      <c r="B5" s="3" t="n">
        <v>114973.4961946769</v>
      </c>
    </row>
    <row r="6">
      <c r="A6" t="inlineStr">
        <is>
          <t>+ distribution_rewards (settle-dr-dune)</t>
        </is>
      </c>
      <c r="B6" s="3" t="n">
        <v>1009112.93</v>
      </c>
    </row>
    <row r="7">
      <c r="A7" t="inlineStr"/>
      <c r="B7" s="4" t="n">
        <v>11415500.50677005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7518418.384692316</v>
      </c>
    </row>
    <row r="11">
      <c r="A11" t="inlineStr">
        <is>
          <t>+ SDE revenue (Sky-Direct, full to Sky)</t>
        </is>
      </c>
      <c r="B11" s="3" t="n">
        <v>3731.279390607106</v>
      </c>
    </row>
    <row r="12">
      <c r="A12" t="inlineStr"/>
      <c r="B12" s="4" t="n">
        <v>7522149.664082923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7518418.384692316</v>
      </c>
    </row>
    <row r="16">
      <c r="A16" t="inlineStr">
        <is>
          <t>reduction from idle/SDE deductions</t>
        </is>
      </c>
      <c r="B16" s="3" t="n">
        <v>-2566728.75667342</v>
      </c>
    </row>
    <row r="17">
      <c r="A17" t="inlineStr"/>
      <c r="B17" s="4" t="n">
        <v>10085147.14136574</v>
      </c>
    </row>
    <row r="19">
      <c r="A19" s="5" t="inlineStr">
        <is>
          <t>sUSDS spread (Curve LP + PSM3) — deducted from sky_revenue</t>
        </is>
      </c>
      <c r="B19" s="3" t="n">
        <v>160996.253256423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10291414.08057537</v>
      </c>
    </row>
    <row r="23">
      <c r="A23" t="inlineStr">
        <is>
          <t>− CoF (deducted per-venue in display)</t>
        </is>
      </c>
      <c r="B23" s="3" t="n">
        <v>-7518418.384692316</v>
      </c>
    </row>
    <row r="24">
      <c r="A24" t="inlineStr"/>
      <c r="B24" s="4" t="n">
        <v>1658047.72366308</v>
      </c>
    </row>
    <row r="26">
      <c r="A26" t="inlineStr">
        <is>
          <t>Period</t>
        </is>
      </c>
      <c r="B26" t="inlineStr">
        <is>
          <t>2026-02-01 → 2026-02-28 (28 days)</t>
        </is>
      </c>
    </row>
    <row r="27">
      <c r="A27" t="inlineStr">
        <is>
          <t>Pin blocks</t>
        </is>
      </c>
      <c r="B27" t="inlineStr">
        <is>
          <t>arbitrum=437025050, avalanche_c=79250451, base=42766926, ethereum=24558867, optimism=148362211, unichain=41574840</t>
        </is>
      </c>
    </row>
    <row r="28">
      <c r="A28" t="inlineStr">
        <is>
          <t>Generated</t>
        </is>
      </c>
      <c r="B28" t="inlineStr">
        <is>
          <t>2026-07-31T00:12:57+00:00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1138527.930917483</v>
      </c>
      <c r="I2" s="6" t="n">
        <v>0</v>
      </c>
      <c r="J2" s="6" t="n">
        <v>1138527.930917483</v>
      </c>
      <c r="K2" s="6" t="n">
        <v>0</v>
      </c>
      <c r="L2" s="6" t="n">
        <v>593328991.80363</v>
      </c>
      <c r="M2" s="7" t="n">
        <v>1</v>
      </c>
      <c r="N2" s="6" t="n">
        <v>1571725.53174897</v>
      </c>
      <c r="O2" s="6" t="n">
        <v>1571725.53174897</v>
      </c>
      <c r="P2" s="6" t="n">
        <v>-433197.6008314866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1390597.78203749</v>
      </c>
      <c r="O3" s="6" t="n">
        <v>1390597.78203749</v>
      </c>
      <c r="P3" s="6" t="n">
        <v>1434402.21796251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1208734.930033642</v>
      </c>
      <c r="O4" s="6" t="n">
        <v>1208734.930033642</v>
      </c>
      <c r="P4" s="6" t="n">
        <v>44363.64377362438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618959.9558036625</v>
      </c>
      <c r="O5" s="6" t="n">
        <v>618959.9558036625</v>
      </c>
      <c r="P5" s="6" t="n">
        <v>99455.52458337236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412444.797003</v>
      </c>
      <c r="I6" s="6" t="n">
        <v>0</v>
      </c>
      <c r="J6" s="6" t="n">
        <v>412444.797003</v>
      </c>
      <c r="K6" s="6" t="n">
        <v>0</v>
      </c>
      <c r="L6" s="6" t="n">
        <v>224924210.3868782</v>
      </c>
      <c r="M6" s="7" t="n">
        <v>1</v>
      </c>
      <c r="N6" s="6" t="n">
        <v>595823.1083549261</v>
      </c>
      <c r="O6" s="6" t="n">
        <v>595823.1083549261</v>
      </c>
      <c r="P6" s="6" t="n">
        <v>-183378.3113519261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591393.88095773</v>
      </c>
      <c r="I7" s="6" t="n">
        <v>0</v>
      </c>
      <c r="J7" s="6" t="n">
        <v>591393.88095773</v>
      </c>
      <c r="K7" s="6" t="n">
        <v>0</v>
      </c>
      <c r="L7" s="6" t="n">
        <v>196264917.5470026</v>
      </c>
      <c r="M7" s="7" t="n">
        <v>1</v>
      </c>
      <c r="N7" s="6" t="n">
        <v>519904.7849617367</v>
      </c>
      <c r="O7" s="6" t="n">
        <v>474804.3997801403</v>
      </c>
      <c r="P7" s="6" t="n">
        <v>71489.0959959933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453412.5755140691</v>
      </c>
      <c r="O8" s="6" t="n">
        <v>453412.5755140691</v>
      </c>
      <c r="P8" s="6" t="n">
        <v>129001.8606910516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264899.4318215828</v>
      </c>
      <c r="O9" s="6" t="n">
        <v>264899.4318215828</v>
      </c>
      <c r="P9" s="6" t="n">
        <v>-252072.7821326652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264882.8634798075</v>
      </c>
      <c r="O10" s="6" t="n">
        <v>264882.8634798075</v>
      </c>
      <c r="P10" s="6" t="n">
        <v>-203569.8764428075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304659.6934590152</v>
      </c>
      <c r="I11" s="6" t="n">
        <v>0</v>
      </c>
      <c r="J11" s="6" t="n">
        <v>304659.6934590152</v>
      </c>
      <c r="K11" s="6" t="n">
        <v>0</v>
      </c>
      <c r="L11" s="6" t="n">
        <v>101106912.9085265</v>
      </c>
      <c r="M11" s="7" t="n">
        <v>1</v>
      </c>
      <c r="N11" s="6" t="n">
        <v>267831.7066077983</v>
      </c>
      <c r="O11" s="6" t="n">
        <v>244598.0040506175</v>
      </c>
      <c r="P11" s="6" t="n">
        <v>36827.98685121693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226232.1250862077</v>
      </c>
      <c r="I12" s="6" t="n">
        <v>0</v>
      </c>
      <c r="J12" s="6" t="n">
        <v>226232.1250862077</v>
      </c>
      <c r="K12" s="6" t="n">
        <v>0</v>
      </c>
      <c r="L12" s="6" t="n">
        <v>75079284.39269957</v>
      </c>
      <c r="M12" s="7" t="n">
        <v>1</v>
      </c>
      <c r="N12" s="6" t="n">
        <v>198884.6488467276</v>
      </c>
      <c r="O12" s="6" t="n">
        <v>181631.923868722</v>
      </c>
      <c r="P12" s="6" t="n">
        <v>27347.47623948014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116050.1978506555</v>
      </c>
      <c r="O13" s="6" t="n">
        <v>116050.1978506555</v>
      </c>
      <c r="P13" s="6" t="n">
        <v>-12241.57706365552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88378.05943171031</v>
      </c>
      <c r="O14" s="6" t="n">
        <v>88378.05943171031</v>
      </c>
      <c r="P14" s="6" t="n">
        <v>13568.92200950371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34760.19981187808</v>
      </c>
      <c r="O16" s="6" t="n">
        <v>34760.19981187808</v>
      </c>
      <c r="P16" s="6" t="n">
        <v>23703.95884270745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10000965.036792</v>
      </c>
      <c r="F17" s="6" t="n">
        <v>10000143.505486</v>
      </c>
      <c r="G17" s="6" t="n">
        <v>-821.531306</v>
      </c>
      <c r="H17" s="6" t="n">
        <v>19422.097365</v>
      </c>
      <c r="I17" s="6" t="n">
        <v>0</v>
      </c>
      <c r="J17" s="6" t="n">
        <v>19422.097365</v>
      </c>
      <c r="K17" s="6" t="n">
        <v>0</v>
      </c>
      <c r="L17" s="6" t="n">
        <v>10000242.05005375</v>
      </c>
      <c r="M17" s="7" t="n">
        <v>1</v>
      </c>
      <c r="N17" s="6" t="n">
        <v>26490.59117431615</v>
      </c>
      <c r="O17" s="6" t="n">
        <v>26490.59117431615</v>
      </c>
      <c r="P17" s="6" t="n">
        <v>-7068.493809316149</v>
      </c>
      <c r="Q17" s="6" t="n">
        <v>0</v>
      </c>
      <c r="R17" s="6" t="n">
        <v>0</v>
      </c>
      <c r="S17" t="inlineStr"/>
    </row>
    <row r="18">
      <c r="A18" t="inlineStr">
        <is>
          <t>S49</t>
        </is>
      </c>
      <c r="B18" t="inlineStr">
        <is>
          <t>USDC raw (Optimism — ALM idle)</t>
        </is>
      </c>
      <c r="C18" t="inlineStr">
        <is>
          <t>optimism</t>
        </is>
      </c>
      <c r="D18" t="inlineStr">
        <is>
          <t>A</t>
        </is>
      </c>
      <c r="E18" s="6" t="n">
        <v>5000000</v>
      </c>
      <c r="F18" s="6" t="n">
        <v>5000000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5000000</v>
      </c>
      <c r="M18" s="7" t="n">
        <v>1</v>
      </c>
      <c r="N18" s="6" t="n">
        <v>13244.97499246719</v>
      </c>
      <c r="O18" s="6" t="n">
        <v>13244.97499246719</v>
      </c>
      <c r="P18" s="6" t="n">
        <v>-13244.97499246719</v>
      </c>
      <c r="Q18" s="6" t="n">
        <v>0</v>
      </c>
      <c r="R18" s="6" t="n">
        <v>0</v>
      </c>
      <c r="S18" t="inlineStr"/>
    </row>
    <row r="19">
      <c r="A19" t="inlineStr">
        <is>
          <t>S53</t>
        </is>
      </c>
      <c r="B19" t="inlineStr">
        <is>
          <t>USDC raw (Unichain — ALM idle)</t>
        </is>
      </c>
      <c r="C19" t="inlineStr">
        <is>
          <t>unichain</t>
        </is>
      </c>
      <c r="D19" t="inlineStr">
        <is>
          <t>A</t>
        </is>
      </c>
      <c r="E19" s="6" t="n">
        <v>5000000</v>
      </c>
      <c r="F19" s="6" t="n">
        <v>4997665.827264</v>
      </c>
      <c r="G19" s="6" t="n">
        <v>-2334.172736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4999916.636688</v>
      </c>
      <c r="M19" s="7" t="n">
        <v>1</v>
      </c>
      <c r="N19" s="6" t="n">
        <v>13244.75416347064</v>
      </c>
      <c r="O19" s="6" t="n">
        <v>13244.75416347064</v>
      </c>
      <c r="P19" s="6" t="n">
        <v>-13244.75416347064</v>
      </c>
      <c r="Q19" s="6" t="n">
        <v>0</v>
      </c>
      <c r="R19" s="6" t="n">
        <v>0</v>
      </c>
      <c r="S19" t="inlineStr"/>
    </row>
    <row r="20">
      <c r="A20" t="inlineStr">
        <is>
          <t>S45</t>
        </is>
      </c>
      <c r="B20" t="inlineStr">
        <is>
          <t>USDC raw (Arbitrum — ALM idle)</t>
        </is>
      </c>
      <c r="C20" t="inlineStr">
        <is>
          <t>arbitrum</t>
        </is>
      </c>
      <c r="D20" t="inlineStr">
        <is>
          <t>A</t>
        </is>
      </c>
      <c r="E20" s="6" t="n">
        <v>4994817.315553</v>
      </c>
      <c r="F20" s="6" t="n">
        <v>4983790.597531</v>
      </c>
      <c r="G20" s="6" t="n">
        <v>-11026.718022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4994423.504195072</v>
      </c>
      <c r="M20" s="7" t="n">
        <v>1</v>
      </c>
      <c r="N20" s="6" t="n">
        <v>13230.20288297081</v>
      </c>
      <c r="O20" s="6" t="n">
        <v>13230.20288297081</v>
      </c>
      <c r="P20" s="6" t="n">
        <v>-13230.20288297081</v>
      </c>
      <c r="Q20" s="6" t="n">
        <v>0</v>
      </c>
      <c r="R20" s="6" t="n">
        <v>0</v>
      </c>
      <c r="S20" t="inlineStr"/>
    </row>
    <row r="21">
      <c r="A21" t="inlineStr">
        <is>
          <t>S39</t>
        </is>
      </c>
      <c r="B21" t="inlineStr">
        <is>
          <t>USDC raw (Base — ALM idle)</t>
        </is>
      </c>
      <c r="C21" t="inlineStr">
        <is>
          <t>base</t>
        </is>
      </c>
      <c r="D21" t="inlineStr">
        <is>
          <t>A</t>
        </is>
      </c>
      <c r="E21" s="6" t="n">
        <v>4979093.435761</v>
      </c>
      <c r="F21" s="6" t="n">
        <v>5000000</v>
      </c>
      <c r="G21" s="6" t="n">
        <v>20906.564239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4979840.098769535</v>
      </c>
      <c r="M21" s="7" t="n">
        <v>1</v>
      </c>
      <c r="N21" s="6" t="n">
        <v>13191.57151493757</v>
      </c>
      <c r="O21" s="6" t="n">
        <v>13191.57151493757</v>
      </c>
      <c r="P21" s="6" t="n">
        <v>-13191.57151493757</v>
      </c>
      <c r="Q21" s="6" t="n">
        <v>0</v>
      </c>
      <c r="R21" s="6" t="n">
        <v>0</v>
      </c>
      <c r="S21" t="inlineStr"/>
    </row>
    <row r="22">
      <c r="A22" t="inlineStr">
        <is>
          <t>S24</t>
        </is>
      </c>
      <c r="B22" t="inlineStr">
        <is>
          <t>Spark.fi USDT Reserve Curve (sUSDS/USDT)</t>
        </is>
      </c>
      <c r="C22" t="inlineStr">
        <is>
          <t>ethereum</t>
        </is>
      </c>
      <c r="D22" t="inlineStr">
        <is>
          <t>F</t>
        </is>
      </c>
      <c r="E22" s="6" t="n">
        <v>49999911.74966041</v>
      </c>
      <c r="F22" s="6" t="n">
        <v>50000340.64647674</v>
      </c>
      <c r="G22" s="6" t="n">
        <v>428.8968163312471</v>
      </c>
      <c r="H22" s="6" t="n">
        <v>3733.877754048192</v>
      </c>
      <c r="I22" s="6" t="n">
        <v>30517.18693124221</v>
      </c>
      <c r="J22" s="6" t="n">
        <v>30517.18693124221</v>
      </c>
      <c r="K22" s="6" t="n">
        <v>3733.877754048192</v>
      </c>
      <c r="L22" s="6" t="n">
        <v>49998703.81509366</v>
      </c>
      <c r="M22" s="7" t="n">
        <v>0</v>
      </c>
      <c r="N22" s="6" t="n">
        <v>0</v>
      </c>
      <c r="O22" s="6" t="n">
        <v>3733.877754048192</v>
      </c>
      <c r="P22" s="6" t="n">
        <v>30517.18693124221</v>
      </c>
      <c r="Q22" s="6" t="n">
        <v>49998703.81509366</v>
      </c>
      <c r="R22" s="6" t="n">
        <v>0</v>
      </c>
      <c r="S22" t="inlineStr">
        <is>
          <t>SDE (fixed)</t>
        </is>
      </c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2584.729951781878</v>
      </c>
      <c r="O23" s="6" t="n">
        <v>2584.729951781878</v>
      </c>
      <c r="P23" s="6" t="n">
        <v>-323.8582339772704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2933.13665051312</v>
      </c>
      <c r="I24" s="6" t="n">
        <v>0</v>
      </c>
      <c r="J24" s="6" t="n">
        <v>2933.13665051312</v>
      </c>
      <c r="K24" s="6" t="n">
        <v>0</v>
      </c>
      <c r="L24" s="6" t="n">
        <v>973415.2506528809</v>
      </c>
      <c r="M24" s="7" t="n">
        <v>1</v>
      </c>
      <c r="N24" s="6" t="n">
        <v>2578.572130436718</v>
      </c>
      <c r="O24" s="6" t="n">
        <v>2354.887718088436</v>
      </c>
      <c r="P24" s="6" t="n">
        <v>354.5645200764025</v>
      </c>
      <c r="Q24" s="6" t="n">
        <v>0</v>
      </c>
      <c r="R24" s="6" t="n">
        <v>223.6844123482817</v>
      </c>
      <c r="S24" t="inlineStr"/>
    </row>
    <row r="25">
      <c r="A25" t="inlineStr">
        <is>
          <t>S62</t>
        </is>
      </c>
      <c r="B25" t="inlineStr">
        <is>
          <t>Spark.fi USDT Reserve Uniswap V4 (USDT/USDS)</t>
        </is>
      </c>
      <c r="C25" t="inlineStr">
        <is>
          <t>ethereum</t>
        </is>
      </c>
      <c r="D25" t="inlineStr">
        <is>
          <t>F</t>
        </is>
      </c>
      <c r="E25" s="6" t="n">
        <v>0</v>
      </c>
      <c r="F25" s="6" t="n">
        <v>219994.2553850041</v>
      </c>
      <c r="G25" s="6" t="n">
        <v>219994.2553850041</v>
      </c>
      <c r="H25" s="6" t="n">
        <v>-2.62944411170806</v>
      </c>
      <c r="I25" s="6" t="n">
        <v>0</v>
      </c>
      <c r="J25" s="6" t="n">
        <v>0</v>
      </c>
      <c r="K25" s="6" t="n">
        <v>-2.62944411170806</v>
      </c>
      <c r="L25" s="6" t="n">
        <v>78570.31601039848</v>
      </c>
      <c r="M25" s="7" t="n">
        <v>0</v>
      </c>
      <c r="N25" s="6" t="n">
        <v>0</v>
      </c>
      <c r="O25" s="6" t="n">
        <v>-2.62944411170806</v>
      </c>
      <c r="P25" s="6" t="n">
        <v>0</v>
      </c>
      <c r="Q25" s="6" t="n">
        <v>78570.31601039848</v>
      </c>
      <c r="R25" s="6" t="n">
        <v>0</v>
      </c>
      <c r="S25" t="inlineStr">
        <is>
          <t>SDE (fixed)</t>
        </is>
      </c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61.15121926789406</v>
      </c>
      <c r="F26" s="6" t="n">
        <v>494.7150552250027</v>
      </c>
      <c r="G26" s="6" t="n">
        <v>433.5638359571087</v>
      </c>
      <c r="H26" s="6" t="n">
        <v>1.217080131948199</v>
      </c>
      <c r="I26" s="6" t="n">
        <v>0</v>
      </c>
      <c r="J26" s="6" t="n">
        <v>1.217080131948199</v>
      </c>
      <c r="K26" s="6" t="n">
        <v>0</v>
      </c>
      <c r="L26" s="6" t="n">
        <v>499.159737975814</v>
      </c>
      <c r="M26" s="7" t="n">
        <v>1</v>
      </c>
      <c r="N26" s="6" t="n">
        <v>1.322271649347226</v>
      </c>
      <c r="O26" s="6" t="n">
        <v>1.322271649347226</v>
      </c>
      <c r="P26" s="6" t="n">
        <v>-0.1051915173990273</v>
      </c>
      <c r="Q26" s="6" t="n">
        <v>0</v>
      </c>
      <c r="R26" s="6" t="n">
        <v>0</v>
      </c>
      <c r="S26" t="inlineStr"/>
    </row>
    <row r="27">
      <c r="A27" t="inlineStr">
        <is>
          <t>S12</t>
        </is>
      </c>
      <c r="B27" t="inlineStr">
        <is>
          <t>Spark DAI Vault (Morpho)</t>
        </is>
      </c>
      <c r="C27" t="inlineStr">
        <is>
          <t>ethereum</t>
        </is>
      </c>
      <c r="D27" t="inlineStr">
        <is>
          <t>B</t>
        </is>
      </c>
      <c r="E27" s="6" t="n">
        <v>332.9212943539781</v>
      </c>
      <c r="F27" s="6" t="n">
        <v>344.9608587271188</v>
      </c>
      <c r="G27" s="6" t="n">
        <v>12.0395643731406</v>
      </c>
      <c r="H27" s="6" t="n">
        <v>1.26224901053333</v>
      </c>
      <c r="I27" s="6" t="n">
        <v>0</v>
      </c>
      <c r="J27" s="6" t="n">
        <v>1.26224901053333</v>
      </c>
      <c r="K27" s="6" t="n">
        <v>0</v>
      </c>
      <c r="L27" s="6" t="n">
        <v>336.3854314348162</v>
      </c>
      <c r="M27" s="7" t="n">
        <v>1</v>
      </c>
      <c r="N27" s="6" t="n">
        <v>0.8910833254368854</v>
      </c>
      <c r="O27" s="6" t="n">
        <v>0.8910833254368854</v>
      </c>
      <c r="P27" s="6" t="n">
        <v>0.3711656850964448</v>
      </c>
      <c r="Q27" s="6" t="n">
        <v>0</v>
      </c>
      <c r="R27" s="6" t="n">
        <v>0</v>
      </c>
      <c r="S27" t="inlineStr"/>
    </row>
    <row r="28">
      <c r="A28" t="inlineStr">
        <is>
          <t>S36</t>
        </is>
      </c>
      <c r="B28" t="inlineStr">
        <is>
          <t>Fluid Savings USDS (fsUSDS, Base)</t>
        </is>
      </c>
      <c r="C28" t="inlineStr">
        <is>
          <t>base</t>
        </is>
      </c>
      <c r="D28" t="inlineStr">
        <is>
          <t>B</t>
        </is>
      </c>
      <c r="E28" s="6" t="n">
        <v>283.8972488542868</v>
      </c>
      <c r="F28" s="6" t="n">
        <v>283.8972488542868</v>
      </c>
      <c r="G28" s="6" t="n">
        <v>0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283.8972488542868</v>
      </c>
      <c r="M28" s="7" t="n">
        <v>1</v>
      </c>
      <c r="N28" s="6" t="n">
        <v>0.7520423923010526</v>
      </c>
      <c r="O28" s="6" t="n">
        <v>0.7520423923010526</v>
      </c>
      <c r="P28" s="6" t="n">
        <v>-0.7520423923010526</v>
      </c>
      <c r="Q28" s="6" t="n">
        <v>0</v>
      </c>
      <c r="R28" s="6" t="n">
        <v>0</v>
      </c>
      <c r="S28" t="inlineStr"/>
    </row>
    <row r="29">
      <c r="A29" t="inlineStr">
        <is>
          <t>S16</t>
        </is>
      </c>
      <c r="B29" t="inlineStr">
        <is>
          <t>Ethena Staked USDe (sUSDe)</t>
        </is>
      </c>
      <c r="C29" t="inlineStr">
        <is>
          <t>ethereum</t>
        </is>
      </c>
      <c r="D29" t="inlineStr">
        <is>
          <t>B</t>
        </is>
      </c>
      <c r="E29" s="6" t="n">
        <v>98.60727406618892</v>
      </c>
      <c r="F29" s="6" t="n">
        <v>98.88131626312872</v>
      </c>
      <c r="G29" s="6" t="n">
        <v>0.2740421969397932</v>
      </c>
      <c r="H29" s="6" t="n">
        <v>0.2740421969397932</v>
      </c>
      <c r="I29" s="6" t="n">
        <v>0</v>
      </c>
      <c r="J29" s="6" t="n">
        <v>0.2740421969397932</v>
      </c>
      <c r="K29" s="6" t="n">
        <v>0</v>
      </c>
      <c r="L29" s="6" t="n">
        <v>98.60727406618892</v>
      </c>
      <c r="M29" s="7" t="n">
        <v>1</v>
      </c>
      <c r="N29" s="6" t="n">
        <v>0.2612101758164062</v>
      </c>
      <c r="O29" s="6" t="n">
        <v>0.2612101758164062</v>
      </c>
      <c r="P29" s="6" t="n">
        <v>0.01283202112338705</v>
      </c>
      <c r="Q29" s="6" t="n">
        <v>0</v>
      </c>
      <c r="R29" s="6" t="n">
        <v>0</v>
      </c>
      <c r="S29" t="inlineStr"/>
    </row>
    <row r="30">
      <c r="A30" t="inlineStr">
        <is>
          <t>S27</t>
        </is>
      </c>
      <c r="B30" t="inlineStr">
        <is>
          <t>USDT raw (ALM idle — $442M as of 2026-04)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1868.74164</v>
      </c>
      <c r="G30" s="6" t="n">
        <v>1868.74164</v>
      </c>
      <c r="H30" s="6" t="n">
        <v>0</v>
      </c>
      <c r="I30" s="6" t="n">
        <v>0</v>
      </c>
      <c r="J30" s="6" t="n">
        <v>0</v>
      </c>
      <c r="K30" s="6" t="n">
        <v>0</v>
      </c>
      <c r="L30" s="6" t="n">
        <v>66.74077285714286</v>
      </c>
      <c r="M30" s="7" t="n">
        <v>1</v>
      </c>
      <c r="N30" s="6" t="n">
        <v>0.176795973494158</v>
      </c>
      <c r="O30" s="6" t="n">
        <v>0.176795973494158</v>
      </c>
      <c r="P30" s="6" t="n">
        <v>-0.176795973494158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0.05803017679568236</v>
      </c>
      <c r="O31" s="6" t="n">
        <v>0.05803017679568236</v>
      </c>
      <c r="P31" s="6" t="n">
        <v>-0.05801992074827769</v>
      </c>
      <c r="Q31" s="6" t="n">
        <v>0</v>
      </c>
      <c r="R31" s="6" t="n">
        <v>0</v>
      </c>
      <c r="S31" t="inlineStr"/>
    </row>
    <row r="32">
      <c r="A32" t="inlineStr">
        <is>
          <t>S61</t>
        </is>
      </c>
      <c r="B32" t="inlineStr">
        <is>
          <t>Spark.fi PYUSD Reserve Uniswap V4 (PYUSD/USDS)</t>
        </is>
      </c>
      <c r="C32" t="inlineStr">
        <is>
          <t>ethereum</t>
        </is>
      </c>
      <c r="D32" t="inlineStr">
        <is>
          <t>F</t>
        </is>
      </c>
      <c r="E32" s="6" t="n">
        <v>0</v>
      </c>
      <c r="F32" s="6" t="n">
        <v>220000.0301712902</v>
      </c>
      <c r="G32" s="6" t="n">
        <v>220000.0301712902</v>
      </c>
      <c r="H32" s="6" t="n">
        <v>0.0310806706219395</v>
      </c>
      <c r="I32" s="6" t="n">
        <v>0</v>
      </c>
      <c r="J32" s="6" t="n">
        <v>0</v>
      </c>
      <c r="K32" s="6" t="n">
        <v>0.0310806706219395</v>
      </c>
      <c r="L32" s="6" t="n">
        <v>78571.42824664984</v>
      </c>
      <c r="M32" s="7" t="n">
        <v>0</v>
      </c>
      <c r="N32" s="6" t="n">
        <v>0</v>
      </c>
      <c r="O32" s="6" t="n">
        <v>0.0310806706219395</v>
      </c>
      <c r="P32" s="6" t="n">
        <v>0</v>
      </c>
      <c r="Q32" s="6" t="n">
        <v>78571.42824664984</v>
      </c>
      <c r="R32" s="6" t="n">
        <v>0</v>
      </c>
      <c r="S32" t="inlineStr">
        <is>
          <t>SDE (fixed)</t>
        </is>
      </c>
    </row>
    <row r="33">
      <c r="A33" t="inlineStr">
        <is>
          <t>S23</t>
        </is>
      </c>
      <c r="B33" t="inlineStr">
        <is>
          <t>Anchorage tri-party loan escrow (USDC pass-through, ~$0 balance)</t>
        </is>
      </c>
      <c r="C33" t="inlineStr">
        <is>
          <t>ethereum</t>
        </is>
      </c>
      <c r="D33" t="inlineStr">
        <is>
          <t>E</t>
        </is>
      </c>
      <c r="E33" s="6" t="n">
        <v>1.210584</v>
      </c>
      <c r="F33" s="6" t="n">
        <v>1.210594</v>
      </c>
      <c r="G33" s="6" t="n">
        <v>1e-05</v>
      </c>
      <c r="H33" s="6" t="n">
        <v>1e-05</v>
      </c>
      <c r="I33" s="6" t="n">
        <v>0</v>
      </c>
      <c r="J33" s="6" t="n">
        <v>1e-05</v>
      </c>
      <c r="K33" s="6" t="n">
        <v>0</v>
      </c>
      <c r="L33" s="6" t="n">
        <v>1.210584</v>
      </c>
      <c r="M33" s="7" t="n">
        <v>1</v>
      </c>
      <c r="N33" s="6" t="n">
        <v>0.00320683096125618</v>
      </c>
      <c r="O33" s="6" t="n">
        <v>0.00320683096125618</v>
      </c>
      <c r="P33" s="6" t="n">
        <v>-0.00319683096125618</v>
      </c>
      <c r="Q33" s="6" t="n">
        <v>0</v>
      </c>
      <c r="R33" s="6" t="n">
        <v>0</v>
      </c>
      <c r="S33" t="inlineStr"/>
    </row>
    <row r="34">
      <c r="A34" t="inlineStr">
        <is>
          <t>S8</t>
        </is>
      </c>
      <c r="B34" t="inlineStr">
        <is>
          <t>Aave Ethereum USDC (aToken)</t>
        </is>
      </c>
      <c r="C34" t="inlineStr">
        <is>
          <t>ethereum</t>
        </is>
      </c>
      <c r="D34" t="inlineStr">
        <is>
          <t>C</t>
        </is>
      </c>
      <c r="E34" s="6" t="n">
        <v>0.057354</v>
      </c>
      <c r="F34" s="6" t="n">
        <v>0.057463</v>
      </c>
      <c r="G34" s="6" t="n">
        <v>0.000109</v>
      </c>
      <c r="H34" s="6" t="n">
        <v>0.000109</v>
      </c>
      <c r="I34" s="6" t="n">
        <v>0</v>
      </c>
      <c r="J34" s="6" t="n">
        <v>0.000109</v>
      </c>
      <c r="K34" s="6" t="n">
        <v>0</v>
      </c>
      <c r="L34" s="6" t="n">
        <v>0.057354</v>
      </c>
      <c r="M34" s="7" t="n">
        <v>1</v>
      </c>
      <c r="N34" s="6" t="n">
        <v>0.0001519304591435926</v>
      </c>
      <c r="O34" s="6" t="n">
        <v>0.0001519304591435926</v>
      </c>
      <c r="P34" s="6" t="n">
        <v>-4.293045914359264e-05</v>
      </c>
      <c r="Q34" s="6" t="n">
        <v>0</v>
      </c>
      <c r="R34" s="6" t="n">
        <v>0</v>
      </c>
      <c r="S34" t="inlineStr"/>
    </row>
    <row r="35">
      <c r="A35" t="inlineStr">
        <is>
          <t>S41</t>
        </is>
      </c>
      <c r="B35" t="inlineStr">
        <is>
          <t>Aave Arbitrum USDCn (aArbUSDCn)</t>
        </is>
      </c>
      <c r="C35" t="inlineStr">
        <is>
          <t>arbitrum</t>
        </is>
      </c>
      <c r="D35" t="inlineStr">
        <is>
          <t>C</t>
        </is>
      </c>
      <c r="E35" s="6" t="n">
        <v>0.00631</v>
      </c>
      <c r="F35" s="6" t="n">
        <v>0.006319</v>
      </c>
      <c r="G35" s="6" t="n">
        <v>9e-06</v>
      </c>
      <c r="H35" s="6" t="n">
        <v>9e-06</v>
      </c>
      <c r="I35" s="6" t="n">
        <v>0</v>
      </c>
      <c r="J35" s="6" t="n">
        <v>9e-06</v>
      </c>
      <c r="K35" s="6" t="n">
        <v>0</v>
      </c>
      <c r="L35" s="6" t="n">
        <v>0.00631</v>
      </c>
      <c r="M35" s="7" t="n">
        <v>1</v>
      </c>
      <c r="N35" s="6" t="n">
        <v>1.671515844049359e-05</v>
      </c>
      <c r="O35" s="6" t="n">
        <v>1.671515844049359e-05</v>
      </c>
      <c r="P35" s="6" t="n">
        <v>-7.715158440493594e-06</v>
      </c>
      <c r="Q35" s="6" t="n">
        <v>0</v>
      </c>
      <c r="R35" s="6" t="n">
        <v>0</v>
      </c>
      <c r="S35" t="inlineStr"/>
    </row>
    <row r="36">
      <c r="A36" t="inlineStr">
        <is>
          <t>S7</t>
        </is>
      </c>
      <c r="B36" t="inlineStr">
        <is>
          <t>Aave Ethereum USDS (aToken)</t>
        </is>
      </c>
      <c r="C36" t="inlineStr">
        <is>
          <t>ethereum</t>
        </is>
      </c>
      <c r="D36" t="inlineStr">
        <is>
          <t>C</t>
        </is>
      </c>
      <c r="E36" s="6" t="n">
        <v>0.005739369858543872</v>
      </c>
      <c r="F36" s="6" t="n">
        <v>0.005740696354252308</v>
      </c>
      <c r="G36" s="6" t="n">
        <v>1.326495708436e-06</v>
      </c>
      <c r="H36" s="6" t="n">
        <v>1.326495708436e-06</v>
      </c>
      <c r="I36" s="6" t="n">
        <v>0</v>
      </c>
      <c r="J36" s="6" t="n">
        <v>1.326495708436e-06</v>
      </c>
      <c r="K36" s="6" t="n">
        <v>0</v>
      </c>
      <c r="L36" s="6" t="n">
        <v>0.005739369858543872</v>
      </c>
      <c r="M36" s="7" t="n">
        <v>1</v>
      </c>
      <c r="N36" s="6" t="n">
        <v>1.520356204978671e-05</v>
      </c>
      <c r="O36" s="6" t="n">
        <v>1.520356204978671e-05</v>
      </c>
      <c r="P36" s="6" t="n">
        <v>-1.387706634135071e-05</v>
      </c>
      <c r="Q36" s="6" t="n">
        <v>0</v>
      </c>
      <c r="R36" s="6" t="n">
        <v>0</v>
      </c>
      <c r="S36" t="inlineStr"/>
    </row>
    <row r="37">
      <c r="A37" t="inlineStr">
        <is>
          <t>S35</t>
        </is>
      </c>
      <c r="B37" t="inlineStr">
        <is>
          <t>Aave Base USDC (aBasUSDC)</t>
        </is>
      </c>
      <c r="C37" t="inlineStr">
        <is>
          <t>base</t>
        </is>
      </c>
      <c r="D37" t="inlineStr">
        <is>
          <t>C</t>
        </is>
      </c>
      <c r="E37" s="6" t="n">
        <v>0.001688</v>
      </c>
      <c r="F37" s="6" t="n">
        <v>0.001692</v>
      </c>
      <c r="G37" s="6" t="n">
        <v>4e-06</v>
      </c>
      <c r="H37" s="6" t="n">
        <v>4e-06</v>
      </c>
      <c r="I37" s="6" t="n">
        <v>0</v>
      </c>
      <c r="J37" s="6" t="n">
        <v>4e-06</v>
      </c>
      <c r="K37" s="6" t="n">
        <v>0</v>
      </c>
      <c r="L37" s="6" t="n">
        <v>0.001688</v>
      </c>
      <c r="M37" s="7" t="n">
        <v>1</v>
      </c>
      <c r="N37" s="6" t="n">
        <v>4.471503557456923e-06</v>
      </c>
      <c r="O37" s="6" t="n">
        <v>4.471503557456923e-06</v>
      </c>
      <c r="P37" s="6" t="n">
        <v>-4.715035574569233e-07</v>
      </c>
      <c r="Q37" s="6" t="n">
        <v>0</v>
      </c>
      <c r="R37" s="6" t="n">
        <v>0</v>
      </c>
      <c r="S37" t="inlineStr"/>
    </row>
    <row r="38">
      <c r="A38" t="inlineStr">
        <is>
          <t>S17</t>
        </is>
      </c>
      <c r="B38" t="inlineStr">
        <is>
          <t>Fluid Savings USDS (fsUSDS)</t>
        </is>
      </c>
      <c r="C38" t="inlineStr">
        <is>
          <t>ethereum</t>
        </is>
      </c>
      <c r="D38" t="inlineStr">
        <is>
          <t>B</t>
        </is>
      </c>
      <c r="E38" s="6" t="n">
        <v>0.001240144670509943</v>
      </c>
      <c r="F38" s="6" t="n">
        <v>0.001240144670509943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0.001240144670509943</v>
      </c>
      <c r="M38" s="7" t="n">
        <v>1</v>
      </c>
      <c r="N38" s="6" t="n">
        <v>3.285137029589132e-06</v>
      </c>
      <c r="O38" s="6" t="n">
        <v>3.285137029589132e-06</v>
      </c>
      <c r="P38" s="6" t="n">
        <v>-3.285137029589132e-06</v>
      </c>
      <c r="Q38" s="6" t="n">
        <v>0</v>
      </c>
      <c r="R38" s="6" t="n">
        <v>0</v>
      </c>
      <c r="S38" t="inlineStr"/>
    </row>
    <row r="39">
      <c r="A39" t="inlineStr">
        <is>
          <t>S6</t>
        </is>
      </c>
      <c r="B39" t="inlineStr">
        <is>
          <t>Aave Ethereum Lido USDS (aToken)</t>
        </is>
      </c>
      <c r="C39" t="inlineStr">
        <is>
          <t>ethereum</t>
        </is>
      </c>
      <c r="D39" t="inlineStr">
        <is>
          <t>C</t>
        </is>
      </c>
      <c r="E39" s="6" t="n">
        <v>0.000518423030497757</v>
      </c>
      <c r="F39" s="6" t="n">
        <v>0.000519245328957253</v>
      </c>
      <c r="G39" s="6" t="n">
        <v>8.22298459496e-07</v>
      </c>
      <c r="H39" s="6" t="n">
        <v>8.22298459496e-07</v>
      </c>
      <c r="I39" s="6" t="n">
        <v>0</v>
      </c>
      <c r="J39" s="6" t="n">
        <v>8.22298459496e-07</v>
      </c>
      <c r="K39" s="6" t="n">
        <v>0</v>
      </c>
      <c r="L39" s="6" t="n">
        <v>0.000518423030497757</v>
      </c>
      <c r="M39" s="7" t="n">
        <v>1</v>
      </c>
      <c r="N39" s="6" t="n">
        <v>1.373300014892369e-06</v>
      </c>
      <c r="O39" s="6" t="n">
        <v>1.373300014892369e-06</v>
      </c>
      <c r="P39" s="6" t="n">
        <v>-5.510015553963693e-07</v>
      </c>
      <c r="Q39" s="6" t="n">
        <v>0</v>
      </c>
      <c r="R39" s="6" t="n">
        <v>0</v>
      </c>
      <c r="S39" t="inlineStr"/>
    </row>
    <row r="40">
      <c r="A40" t="inlineStr">
        <is>
          <t>S30</t>
        </is>
      </c>
      <c r="B40" t="inlineStr">
        <is>
          <t>USDe raw (ALM idle)</t>
        </is>
      </c>
      <c r="C40" t="inlineStr">
        <is>
          <t>ethereum</t>
        </is>
      </c>
      <c r="D40" t="inlineStr">
        <is>
          <t>A</t>
        </is>
      </c>
      <c r="E40" s="6" t="n">
        <v>7.4896275897803e-05</v>
      </c>
      <c r="F40" s="6" t="n">
        <v>7.4896275897803e-05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7.4896275897803e-05</v>
      </c>
      <c r="M40" s="7" t="n">
        <v>1</v>
      </c>
      <c r="N40" s="6" t="n">
        <v>1.983998602590648e-07</v>
      </c>
      <c r="O40" s="6" t="n">
        <v>1.983998602590648e-07</v>
      </c>
      <c r="P40" s="6" t="n">
        <v>-1.983998602590648e-07</v>
      </c>
      <c r="Q40" s="6" t="n">
        <v>0</v>
      </c>
      <c r="R40" s="6" t="n">
        <v>0</v>
      </c>
      <c r="S40" t="inlineStr"/>
    </row>
    <row r="41">
      <c r="A41" t="inlineStr">
        <is>
          <t>S9</t>
        </is>
      </c>
      <c r="B41" t="inlineStr">
        <is>
          <t>Aave Ethereum USDT (aToken)</t>
        </is>
      </c>
      <c r="C41" t="inlineStr">
        <is>
          <t>ethereum</t>
        </is>
      </c>
      <c r="D41" t="inlineStr">
        <is>
          <t>C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S11</t>
        </is>
      </c>
      <c r="B42" t="inlineStr">
        <is>
          <t>Spark Blue Chip USDT Vault (Morpho V2)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891779.999999939</v>
      </c>
      <c r="I47" s="6" t="n">
        <v>0</v>
      </c>
      <c r="J47" s="6" t="n">
        <v>891779.999999939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891779.999999939</v>
      </c>
      <c r="Q47" s="6" t="n">
        <v>0</v>
      </c>
      <c r="R47" s="6" t="n">
        <v>0</v>
      </c>
      <c r="S47" t="inlineStr"/>
    </row>
    <row r="48">
      <c r="A48" t="inlineStr">
        <is>
          <t>S29</t>
        </is>
      </c>
      <c r="B48" t="inlineStr">
        <is>
          <t>DAI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0</v>
      </c>
      <c r="Q48" s="6" t="n">
        <v>0</v>
      </c>
      <c r="R48" s="6" t="n">
        <v>0</v>
      </c>
      <c r="S48" t="inlineStr"/>
    </row>
    <row r="49">
      <c r="A49" t="inlineStr">
        <is>
          <t>S31</t>
        </is>
      </c>
      <c r="B49" t="inlineStr">
        <is>
          <t>USDS raw / POL (ALM idle — already netted out of utilized)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S38</t>
        </is>
      </c>
      <c r="B50" t="inlineStr">
        <is>
          <t>USDS raw (Base — POL)</t>
        </is>
      </c>
      <c r="C50" t="inlineStr">
        <is>
          <t>base</t>
        </is>
      </c>
      <c r="D50" t="inlineStr">
        <is>
          <t>A</t>
        </is>
      </c>
      <c r="E50" s="6" t="n">
        <v>65170000</v>
      </c>
      <c r="F50" s="6" t="n">
        <v>65170000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65170000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65170000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S42</t>
        </is>
      </c>
      <c r="B51" t="inlineStr">
        <is>
          <t>Fluid Savings USDS (fsUSDS, Arbitrum)</t>
        </is>
      </c>
      <c r="C51" t="inlineStr">
        <is>
          <t>arbitrum</t>
        </is>
      </c>
      <c r="D51" t="inlineStr">
        <is>
          <t>B</t>
        </is>
      </c>
      <c r="E51" s="6" t="n">
        <v>0</v>
      </c>
      <c r="F51" s="6" t="n">
        <v>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0</v>
      </c>
      <c r="M51" s="7" t="n">
        <v>1</v>
      </c>
      <c r="N51" s="6" t="n">
        <v>0</v>
      </c>
      <c r="O51" s="6" t="n">
        <v>0</v>
      </c>
      <c r="P51" s="6" t="n">
        <v>0</v>
      </c>
      <c r="Q51" s="6" t="n">
        <v>0</v>
      </c>
      <c r="R51" s="6" t="n">
        <v>0</v>
      </c>
      <c r="S51" t="inlineStr"/>
    </row>
    <row r="52">
      <c r="A52" t="inlineStr">
        <is>
          <t>S44</t>
        </is>
      </c>
      <c r="B52" t="inlineStr">
        <is>
          <t>USDS raw (Arbitrum — POL)</t>
        </is>
      </c>
      <c r="C52" t="inlineStr">
        <is>
          <t>arbitrum</t>
        </is>
      </c>
      <c r="D52" t="inlineStr">
        <is>
          <t>A</t>
        </is>
      </c>
      <c r="E52" s="6" t="n">
        <v>90000000</v>
      </c>
      <c r="F52" s="6" t="n">
        <v>90000000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90000000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90000000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S48</t>
        </is>
      </c>
      <c r="B53" t="inlineStr">
        <is>
          <t>USDS raw (Optimism — POL)</t>
        </is>
      </c>
      <c r="C53" t="inlineStr">
        <is>
          <t>optimism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S52</t>
        </is>
      </c>
      <c r="B54" t="inlineStr">
        <is>
          <t>USDS raw (Unichain — POL)</t>
        </is>
      </c>
      <c r="C54" t="inlineStr">
        <is>
          <t>unichain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S55</t>
        </is>
      </c>
      <c r="B55" t="inlineStr">
        <is>
          <t>USDC raw (Avalanche-C — ALM idle)</t>
        </is>
      </c>
      <c r="C55" t="inlineStr">
        <is>
          <t>avalanche_c</t>
        </is>
      </c>
      <c r="D55" t="inlineStr">
        <is>
          <t>A</t>
        </is>
      </c>
      <c r="E55" s="6" t="n">
        <v>0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0</v>
      </c>
      <c r="M55" s="7" t="n">
        <v>1</v>
      </c>
      <c r="N55" s="6" t="n">
        <v>0</v>
      </c>
      <c r="O55" s="6" t="n">
        <v>0</v>
      </c>
      <c r="P55" s="6" t="n">
        <v>0</v>
      </c>
      <c r="Q55" s="6" t="n">
        <v>0</v>
      </c>
      <c r="R55" s="6" t="n">
        <v>0</v>
      </c>
      <c r="S55" t="inlineStr"/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207131500.431691</v>
      </c>
      <c r="F60" s="6" t="n">
        <v>287780830.420175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120038508.359851</v>
      </c>
      <c r="F61" s="6" t="n">
        <v>387977397.421864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285387.136685</v>
      </c>
      <c r="F62" s="6" t="n">
        <v>94443.720094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95656876.179346</v>
      </c>
      <c r="F63" s="6" t="n">
        <v>152857139.195815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2507919163.266385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1507919163.266385</v>
      </c>
    </row>
    <row r="8">
      <c r="A8" t="inlineStr">
        <is>
          <t>Base rate (BR = SSR + 30bps), period avg</t>
        </is>
      </c>
      <c r="B8" s="7" t="n">
        <v>0.04312000189646037</v>
      </c>
    </row>
    <row r="9">
      <c r="A9" t="inlineStr">
        <is>
          <t>Reference rate (tbill_3m), period avg</t>
        </is>
      </c>
      <c r="B9" s="7" t="n">
        <v>0.03685357142857143</v>
      </c>
    </row>
    <row r="10">
      <c r="A10" t="inlineStr">
        <is>
          <t>Subsidised rate (BR*), period avg</t>
        </is>
      </c>
      <c r="B10" s="7" t="n">
        <v>0.0371146726980668</v>
      </c>
    </row>
    <row r="11">
      <c r="A11" s="8" t="inlineStr">
        <is>
          <t>Effective blended rate charged</t>
        </is>
      </c>
      <c r="B11" s="10" t="n">
        <v>0.04072545533915744</v>
      </c>
    </row>
    <row r="12">
      <c r="A12" s="8" t="inlineStr">
        <is>
          <t>Diff vs base rate (bps)</t>
        </is>
      </c>
      <c r="B12" s="11" t="n">
        <v>-23.9454655730293</v>
      </c>
    </row>
    <row r="13">
      <c r="A13" s="8" t="inlineStr">
        <is>
          <t>Subsidy benefit to prime (USD)</t>
        </is>
      </c>
      <c r="B13" s="12" t="n">
        <v>442963.4499965028</v>
      </c>
    </row>
    <row r="15">
      <c r="A15" t="inlineStr">
        <is>
          <t>CoF at full base rate (no subsidy)</t>
        </is>
      </c>
      <c r="B15" s="3" t="n">
        <v>8122378.087945241</v>
      </c>
    </row>
    <row r="16">
      <c r="A16" t="inlineStr">
        <is>
          <t xml:space="preserve">  − actual CoF (subsidy on first tranche)</t>
        </is>
      </c>
      <c r="B16" s="3" t="n">
        <v>7679414.637948738</v>
      </c>
    </row>
    <row r="17">
      <c r="A17" s="8" t="inlineStr">
        <is>
          <t xml:space="preserve">  = subsidy benefit</t>
        </is>
      </c>
      <c r="B17" s="12" t="n">
        <v>442963.4499965028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2795728.692443378</v>
      </c>
    </row>
    <row r="21">
      <c r="A21" t="inlineStr">
        <is>
          <t>Excess (&gt; cap)</t>
        </is>
      </c>
      <c r="B21" s="6" t="n">
        <v>1507919163.266385</v>
      </c>
      <c r="C21" s="3" t="n">
        <v>4883685.945505361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7518418.384692316</v>
      </c>
    </row>
    <row r="25">
      <c r="A25" t="inlineStr">
        <is>
          <t>+ Sky-Direct revenue (full venue yield on fixed/capped SDE)</t>
        </is>
      </c>
      <c r="B25" s="3" t="n">
        <v>3731.279390607106</v>
      </c>
    </row>
    <row r="26">
      <c r="A26" t="inlineStr">
        <is>
          <t>equals sky_revenue (total Sky take this month)</t>
        </is>
      </c>
      <c r="B26" s="3" t="n">
        <v>7522149.664082923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10085147.14136574</v>
      </c>
    </row>
    <row r="31">
      <c r="A31" t="inlineStr">
        <is>
          <t xml:space="preserve">    ↳ actual CoF on Net_Subs (BR × utilized)</t>
        </is>
      </c>
      <c r="B31" s="3" t="n">
        <v>7518418.384692316</v>
      </c>
    </row>
    <row r="32">
      <c r="A32" t="inlineStr">
        <is>
          <t xml:space="preserve">    ↳ reduction from idle/SDE deductions</t>
        </is>
      </c>
      <c r="B32" s="3" t="n">
        <v>-2566728.75667342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160996.253256423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1 (SoM) → 1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3733.877754048192</v>
      </c>
      <c r="J5" s="6" t="n">
        <v>3733.877754048192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0.0310806706219395</v>
      </c>
      <c r="J6" s="6" t="n">
        <v>0.0310806706219395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-2.62944411170806</v>
      </c>
      <c r="J7" s="6" t="n">
        <v>-2.62944411170806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0.04000000189078801</v>
      </c>
      <c r="J6" s="7" t="n">
        <v>0.04312000189646037</v>
      </c>
      <c r="K6" t="n">
        <v>1</v>
      </c>
      <c r="L6" s="7" t="n">
        <v>0.0367</v>
      </c>
      <c r="M6" s="7" t="n">
        <v>0.03696750007901918</v>
      </c>
      <c r="N6" s="3" t="n">
        <v>272505.1331893649</v>
      </c>
      <c r="O6" s="3" t="n">
        <v>365804.9162559443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0.04000000189078801</v>
      </c>
      <c r="J7" s="7" t="n">
        <v>0.04312000189646037</v>
      </c>
      <c r="K7" t="n">
        <v>1</v>
      </c>
      <c r="L7" s="7" t="n">
        <v>0.0369</v>
      </c>
      <c r="M7" s="7" t="n">
        <v>0.03715916674568585</v>
      </c>
      <c r="N7" s="3" t="n">
        <v>268400.3839424823</v>
      </c>
      <c r="O7" s="3" t="n">
        <v>360199.5289908347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0.04000000189078801</v>
      </c>
      <c r="J8" s="7" t="n">
        <v>0.04312000189646037</v>
      </c>
      <c r="K8" t="n">
        <v>1</v>
      </c>
      <c r="L8" s="7" t="n">
        <v>0.0369</v>
      </c>
      <c r="M8" s="7" t="n">
        <v>0.03715916674568585</v>
      </c>
      <c r="N8" s="3" t="n">
        <v>271984.2895623196</v>
      </c>
      <c r="O8" s="3" t="n">
        <v>363896.7389398698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0.04000000189078801</v>
      </c>
      <c r="J9" s="7" t="n">
        <v>0.04312000189646037</v>
      </c>
      <c r="K9" t="n">
        <v>1</v>
      </c>
      <c r="L9" s="7" t="n">
        <v>0.0369</v>
      </c>
      <c r="M9" s="7" t="n">
        <v>0.03715916674568585</v>
      </c>
      <c r="N9" s="3" t="n">
        <v>272560.7026797382</v>
      </c>
      <c r="O9" s="3" t="n">
        <v>364103.2847530931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0.04000000189078801</v>
      </c>
      <c r="J10" s="7" t="n">
        <v>0.04312000189646037</v>
      </c>
      <c r="K10" t="n">
        <v>1</v>
      </c>
      <c r="L10" s="7" t="n">
        <v>0.0367</v>
      </c>
      <c r="M10" s="7" t="n">
        <v>0.03696750007901918</v>
      </c>
      <c r="N10" s="3" t="n">
        <v>263386.1668083303</v>
      </c>
      <c r="O10" s="3" t="n">
        <v>353045.183371658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0.04000000189078801</v>
      </c>
      <c r="J11" s="7" t="n">
        <v>0.04312000189646037</v>
      </c>
      <c r="K11" t="n">
        <v>1</v>
      </c>
      <c r="L11" s="7" t="n">
        <v>0.0368</v>
      </c>
      <c r="M11" s="7" t="n">
        <v>0.03706333341235252</v>
      </c>
      <c r="N11" s="3" t="n">
        <v>260072.6923424415</v>
      </c>
      <c r="O11" s="3" t="n">
        <v>344878.657586317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0.04000000189078801</v>
      </c>
      <c r="J12" s="7" t="n">
        <v>0.04312000189646037</v>
      </c>
      <c r="K12" t="n">
        <v>1</v>
      </c>
      <c r="L12" s="7" t="n">
        <v>0.0368</v>
      </c>
      <c r="M12" s="7" t="n">
        <v>0.03706333341235252</v>
      </c>
      <c r="N12" s="3" t="n">
        <v>259923.4572850037</v>
      </c>
      <c r="O12" s="3" t="n">
        <v>343615.4126506665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0.04000000189078801</v>
      </c>
      <c r="J13" s="7" t="n">
        <v>0.04312000189646037</v>
      </c>
      <c r="K13" t="n">
        <v>1</v>
      </c>
      <c r="L13" s="7" t="n">
        <v>0.0368</v>
      </c>
      <c r="M13" s="7" t="n">
        <v>0.03706333341235252</v>
      </c>
      <c r="N13" s="3" t="n">
        <v>261288.2075856496</v>
      </c>
      <c r="O13" s="3" t="n">
        <v>343613.7822995228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0.04000000189078801</v>
      </c>
      <c r="J14" s="7" t="n">
        <v>0.04312000189646037</v>
      </c>
      <c r="K14" t="n">
        <v>1</v>
      </c>
      <c r="L14" s="7" t="n">
        <v>0.0369</v>
      </c>
      <c r="M14" s="7" t="n">
        <v>0.03715916674568585</v>
      </c>
      <c r="N14" s="3" t="n">
        <v>274581.3478672199</v>
      </c>
      <c r="O14" s="3" t="n">
        <v>358213.3315583441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0.04000000189078801</v>
      </c>
      <c r="J15" s="7" t="n">
        <v>0.04312000189646037</v>
      </c>
      <c r="K15" t="n">
        <v>1</v>
      </c>
      <c r="L15" s="7" t="n">
        <v>0.0369</v>
      </c>
      <c r="M15" s="7" t="n">
        <v>0.03715916674568585</v>
      </c>
      <c r="N15" s="3" t="n">
        <v>276562.7440067974</v>
      </c>
      <c r="O15" s="3" t="n">
        <v>360260.2472882413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0.04000000189078801</v>
      </c>
      <c r="J16" s="7" t="n">
        <v>0.04312000189646037</v>
      </c>
      <c r="K16" t="n">
        <v>1</v>
      </c>
      <c r="L16" s="7" t="n">
        <v>0.037</v>
      </c>
      <c r="M16" s="7" t="n">
        <v>0.03725500007901918</v>
      </c>
      <c r="N16" s="3" t="n">
        <v>279654.7275183876</v>
      </c>
      <c r="O16" s="3" t="n">
        <v>364868.9070723901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0.04000000189078801</v>
      </c>
      <c r="J17" s="7" t="n">
        <v>0.04312000189646037</v>
      </c>
      <c r="K17" t="n">
        <v>1</v>
      </c>
      <c r="L17" s="7" t="n">
        <v>0.037</v>
      </c>
      <c r="M17" s="7" t="n">
        <v>0.03725500007901918</v>
      </c>
      <c r="N17" s="3" t="n">
        <v>280278.8859924942</v>
      </c>
      <c r="O17" s="3" t="n">
        <v>363818.738822389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0.04000000189078801</v>
      </c>
      <c r="J18" s="7" t="n">
        <v>0.04312000189646037</v>
      </c>
      <c r="K18" t="n">
        <v>1</v>
      </c>
      <c r="L18" s="7" t="n">
        <v>0.0368</v>
      </c>
      <c r="M18" s="7" t="n">
        <v>0.03706333341235252</v>
      </c>
      <c r="N18" s="3" t="n">
        <v>282032.8913663778</v>
      </c>
      <c r="O18" s="3" t="n">
        <v>364708.0341571515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0.04000000189078801</v>
      </c>
      <c r="J19" s="7" t="n">
        <v>0.04312000189646037</v>
      </c>
      <c r="K19" t="n">
        <v>1</v>
      </c>
      <c r="L19" s="7" t="n">
        <v>0.0368</v>
      </c>
      <c r="M19" s="7" t="n">
        <v>0.03706333341235252</v>
      </c>
      <c r="N19" s="3" t="n">
        <v>277482.5487182758</v>
      </c>
      <c r="O19" s="3" t="n">
        <v>361053.4683233606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0.04000000189078801</v>
      </c>
      <c r="J20" s="7" t="n">
        <v>0.04312000189646037</v>
      </c>
      <c r="K20" t="n">
        <v>1</v>
      </c>
      <c r="L20" s="7" t="n">
        <v>0.0368</v>
      </c>
      <c r="M20" s="7" t="n">
        <v>0.03706333341235252</v>
      </c>
      <c r="N20" s="3" t="n">
        <v>274169.8267297408</v>
      </c>
      <c r="O20" s="3" t="n">
        <v>357408.9586272397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0.04000000189078801</v>
      </c>
      <c r="J21" s="7" t="n">
        <v>0.04312000189646037</v>
      </c>
      <c r="K21" t="n">
        <v>1</v>
      </c>
      <c r="L21" s="7" t="n">
        <v>0.0368</v>
      </c>
      <c r="M21" s="7" t="n">
        <v>0.03706333341235252</v>
      </c>
      <c r="N21" s="3" t="n">
        <v>283397.3008498663</v>
      </c>
      <c r="O21" s="3" t="n">
        <v>365989.477407501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0.04000000189078801</v>
      </c>
      <c r="J22" s="7" t="n">
        <v>0.04312000189646037</v>
      </c>
      <c r="K22" t="n">
        <v>1</v>
      </c>
      <c r="L22" s="7" t="n">
        <v>0.0369</v>
      </c>
      <c r="M22" s="7" t="n">
        <v>0.03715916674568585</v>
      </c>
      <c r="N22" s="3" t="n">
        <v>282216.4554618847</v>
      </c>
      <c r="O22" s="3" t="n">
        <v>366486.3244234578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0.04000000189078801</v>
      </c>
      <c r="J23" s="7" t="n">
        <v>0.04312000189646037</v>
      </c>
      <c r="K23" t="n">
        <v>1</v>
      </c>
      <c r="L23" s="7" t="n">
        <v>0.037</v>
      </c>
      <c r="M23" s="7" t="n">
        <v>0.03725500007901918</v>
      </c>
      <c r="N23" s="3" t="n">
        <v>279062.218397059</v>
      </c>
      <c r="O23" s="3" t="n">
        <v>363352.8901920812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88869303.80928044</v>
      </c>
      <c r="F24" s="6" t="n">
        <v>64265513.97577874</v>
      </c>
      <c r="G24" s="6" t="n">
        <v>171708475.8308767</v>
      </c>
      <c r="H24" s="6" t="n">
        <v>2512116551.662415</v>
      </c>
      <c r="I24" s="7" t="n">
        <v>0.04000000189078801</v>
      </c>
      <c r="J24" s="7" t="n">
        <v>0.04312000189646037</v>
      </c>
      <c r="K24" t="n">
        <v>1</v>
      </c>
      <c r="L24" s="7" t="n">
        <v>0.0369</v>
      </c>
      <c r="M24" s="7" t="n">
        <v>0.03715916674568585</v>
      </c>
      <c r="N24" s="3" t="n">
        <v>274867.8672735754</v>
      </c>
      <c r="O24" s="3" t="n">
        <v>363429.1103622073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86895251.75446941</v>
      </c>
      <c r="F25" s="6" t="n">
        <v>65745995.83678398</v>
      </c>
      <c r="G25" s="6" t="n">
        <v>172162721.2920108</v>
      </c>
      <c r="H25" s="6" t="n">
        <v>2535729078.571169</v>
      </c>
      <c r="I25" s="7" t="n">
        <v>0.04000000189078801</v>
      </c>
      <c r="J25" s="7" t="n">
        <v>0.04312000189646037</v>
      </c>
      <c r="K25" t="n">
        <v>1</v>
      </c>
      <c r="L25" s="7" t="n">
        <v>0.0369</v>
      </c>
      <c r="M25" s="7" t="n">
        <v>0.03715916674568585</v>
      </c>
      <c r="N25" s="3" t="n">
        <v>277599.0710365231</v>
      </c>
      <c r="O25" s="3" t="n">
        <v>366202.5251387918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87637531.43673757</v>
      </c>
      <c r="F26" s="6" t="n">
        <v>54189574.80195495</v>
      </c>
      <c r="G26" s="6" t="n">
        <v>172114598.1401009</v>
      </c>
      <c r="H26" s="6" t="n">
        <v>2549059920.069831</v>
      </c>
      <c r="I26" s="7" t="n">
        <v>0.04000000189078801</v>
      </c>
      <c r="J26" s="7" t="n">
        <v>0.04312000189646037</v>
      </c>
      <c r="K26" t="n">
        <v>1</v>
      </c>
      <c r="L26" s="7" t="n">
        <v>0.0369</v>
      </c>
      <c r="M26" s="7" t="n">
        <v>0.03715916674568585</v>
      </c>
      <c r="N26" s="3" t="n">
        <v>279141.0171655883</v>
      </c>
      <c r="O26" s="3" t="n">
        <v>366481.8316925866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88124070.48399515</v>
      </c>
      <c r="F27" s="6" t="n">
        <v>52657779.77695882</v>
      </c>
      <c r="G27" s="6" t="n">
        <v>172130873.8331746</v>
      </c>
      <c r="H27" s="6" t="n">
        <v>2544551386.855224</v>
      </c>
      <c r="I27" s="7" t="n">
        <v>0.04000000189078801</v>
      </c>
      <c r="J27" s="7" t="n">
        <v>0.04312000189646037</v>
      </c>
      <c r="K27" t="n">
        <v>1</v>
      </c>
      <c r="L27" s="7" t="n">
        <v>0.0369</v>
      </c>
      <c r="M27" s="7" t="n">
        <v>0.03715916674568585</v>
      </c>
      <c r="N27" s="3" t="n">
        <v>278619.5260550141</v>
      </c>
      <c r="O27" s="3" t="n">
        <v>365790.3087421195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85902523.83990195</v>
      </c>
      <c r="F28" s="6" t="n">
        <v>67445208.4085051</v>
      </c>
      <c r="G28" s="6" t="n">
        <v>170384756.6215345</v>
      </c>
      <c r="H28" s="6" t="n">
        <v>2521640598.740991</v>
      </c>
      <c r="I28" s="7" t="n">
        <v>0.04000000189078801</v>
      </c>
      <c r="J28" s="7" t="n">
        <v>0.04312000189646037</v>
      </c>
      <c r="K28" t="n">
        <v>1</v>
      </c>
      <c r="L28" s="7" t="n">
        <v>0.0369</v>
      </c>
      <c r="M28" s="7" t="n">
        <v>0.03715916674568585</v>
      </c>
      <c r="N28" s="3" t="n">
        <v>275969.4907177759</v>
      </c>
      <c r="O28" s="3" t="n">
        <v>364380.2940783274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72486558.1043621</v>
      </c>
      <c r="F29" s="6" t="n">
        <v>66243500.21978736</v>
      </c>
      <c r="G29" s="6" t="n">
        <v>164698591.325855</v>
      </c>
      <c r="H29" s="6" t="n">
        <v>2503998396.517566</v>
      </c>
      <c r="I29" s="7" t="n">
        <v>0.04000000189078801</v>
      </c>
      <c r="J29" s="7" t="n">
        <v>0.04312000189646037</v>
      </c>
      <c r="K29" t="n">
        <v>1</v>
      </c>
      <c r="L29" s="7" t="n">
        <v>0.0369</v>
      </c>
      <c r="M29" s="7" t="n">
        <v>0.03715916674568585</v>
      </c>
      <c r="N29" s="3" t="n">
        <v>273928.8599421923</v>
      </c>
      <c r="O29" s="3" t="n">
        <v>359991.8913126069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54018304.47331911</v>
      </c>
      <c r="F30" s="6" t="n">
        <v>67251602.87866101</v>
      </c>
      <c r="G30" s="6" t="n">
        <v>164389729.7446583</v>
      </c>
      <c r="H30" s="6" t="n">
        <v>2505350418.740875</v>
      </c>
      <c r="I30" s="7" t="n">
        <v>0.04000000189078801</v>
      </c>
      <c r="J30" s="7" t="n">
        <v>0.04312000189646037</v>
      </c>
      <c r="K30" t="n">
        <v>1</v>
      </c>
      <c r="L30" s="7" t="n">
        <v>0.0369</v>
      </c>
      <c r="M30" s="7" t="n">
        <v>0.03715916674568585</v>
      </c>
      <c r="N30" s="3" t="n">
        <v>274085.2450761577</v>
      </c>
      <c r="O30" s="3" t="n">
        <v>358113.6523522606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59349402.28568321</v>
      </c>
      <c r="F31" s="6" t="n">
        <v>58757754.71710162</v>
      </c>
      <c r="G31" s="6" t="n">
        <v>164299122.520608</v>
      </c>
      <c r="H31" s="6" t="n">
        <v>2503444840.318725</v>
      </c>
      <c r="I31" s="7" t="n">
        <v>0.04000000189078801</v>
      </c>
      <c r="J31" s="7" t="n">
        <v>0.04312000189646037</v>
      </c>
      <c r="K31" t="n">
        <v>1</v>
      </c>
      <c r="L31" s="7" t="n">
        <v>0.0368</v>
      </c>
      <c r="M31" s="7" t="n">
        <v>0.03706333341235252</v>
      </c>
      <c r="N31" s="3" t="n">
        <v>273611.6442403331</v>
      </c>
      <c r="O31" s="3" t="n">
        <v>357256.2937950286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78739566.82541898</v>
      </c>
      <c r="F32" s="6" t="n">
        <v>51892463.07594856</v>
      </c>
      <c r="G32" s="6" t="n">
        <v>161025661.214919</v>
      </c>
      <c r="H32" s="6" t="n">
        <v>2472024759.558458</v>
      </c>
      <c r="I32" s="7" t="n">
        <v>0.04000000189078801</v>
      </c>
      <c r="J32" s="7" t="n">
        <v>0.04312000189646037</v>
      </c>
      <c r="K32" t="n">
        <v>1</v>
      </c>
      <c r="L32" s="7" t="n">
        <v>0.0367</v>
      </c>
      <c r="M32" s="7" t="n">
        <v>0.03696750007901918</v>
      </c>
      <c r="N32" s="3" t="n">
        <v>269724.149113656</v>
      </c>
      <c r="O32" s="3" t="n">
        <v>354405.8020755793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58227869.12398098</v>
      </c>
      <c r="F33" s="6" t="n">
        <v>44273636.63335567</v>
      </c>
      <c r="G33" s="6" t="n">
        <v>161097957.4296974</v>
      </c>
      <c r="H33" s="6" t="n">
        <v>2580816162.386234</v>
      </c>
      <c r="I33" s="7" t="n">
        <v>0.04000000189078801</v>
      </c>
      <c r="J33" s="7" t="n">
        <v>0.04312000189646037</v>
      </c>
      <c r="K33" t="n">
        <v>1</v>
      </c>
      <c r="L33" s="7" t="n">
        <v>0.0367</v>
      </c>
      <c r="M33" s="7" t="n">
        <v>0.03696750007901918</v>
      </c>
      <c r="N33" s="3" t="n">
        <v>282307.7870244891</v>
      </c>
      <c r="O33" s="3" t="n">
        <v>363777.5490961652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2" t="n">
        <v>7679414.637948738</v>
      </c>
      <c r="O35" s="12" t="n">
        <v>10085147.14136574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2026-07-31T12:31:03Z</dcterms:created>
  <dcterms:modified xsi:type="dcterms:W3CDTF">2026-07-31T12:31:03Z</dcterms:modified>
</cp:coreProperties>
</file>