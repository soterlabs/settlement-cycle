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10291414.08057537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>
        <is>
          <t>+ distribution_rewards (settle-dr-dune)</t>
        </is>
      </c>
      <c r="B6" s="3" t="n">
        <v>1022253.36</v>
      </c>
    </row>
    <row r="7">
      <c r="A7" t="inlineStr"/>
      <c r="B7" s="4" t="n">
        <v>11428640.93677005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7486257.239294591</v>
      </c>
    </row>
    <row r="11">
      <c r="A11" t="inlineStr">
        <is>
          <t>+ SDE revenue (Sky-Direct, full to Sky)</t>
        </is>
      </c>
      <c r="B11" s="3" t="n">
        <v>3731.279390607106</v>
      </c>
    </row>
    <row r="12">
      <c r="A12" t="inlineStr"/>
      <c r="B12" s="4" t="n">
        <v>7489988.518685198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7486257.239294591</v>
      </c>
    </row>
    <row r="16">
      <c r="A16" t="inlineStr">
        <is>
          <t>reduction from idle/SDE deductions</t>
        </is>
      </c>
      <c r="B16" s="3" t="n">
        <v>-2566728.75667342</v>
      </c>
    </row>
    <row r="17">
      <c r="A17" t="inlineStr"/>
      <c r="B17" s="4" t="n">
        <v>10052985.99596801</v>
      </c>
    </row>
    <row r="19">
      <c r="A19" s="5" t="inlineStr">
        <is>
          <t>sUSDS spread (Curve LP + PSM3) — deducted from sky_revenue</t>
        </is>
      </c>
      <c r="B19" s="3" t="n">
        <v>160996.253256423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10291414.08057537</v>
      </c>
    </row>
    <row r="23">
      <c r="A23" t="inlineStr">
        <is>
          <t>− CoF (deducted per-venue in display)</t>
        </is>
      </c>
      <c r="B23" s="3" t="n">
        <v>-7486257.239294591</v>
      </c>
    </row>
    <row r="24">
      <c r="A24" t="inlineStr"/>
      <c r="B24" s="4" t="n">
        <v>1690208.869060804</v>
      </c>
    </row>
    <row r="26">
      <c r="A26" t="inlineStr">
        <is>
          <t>Period</t>
        </is>
      </c>
      <c r="B26" t="inlineStr">
        <is>
          <t>2026-02-01 → 2026-02-28 (28 days)</t>
        </is>
      </c>
    </row>
    <row r="27">
      <c r="A27" t="inlineStr">
        <is>
          <t>Pin blocks</t>
        </is>
      </c>
      <c r="B27" t="inlineStr">
        <is>
          <t>arbitrum=437025050, avalanche_c=79250451, base=42766926, ethereum=24558867, optimism=148362211, unichain=41574840</t>
        </is>
      </c>
    </row>
    <row r="28">
      <c r="A28" t="inlineStr">
        <is>
          <t>Generated</t>
        </is>
      </c>
      <c r="B28" t="inlineStr">
        <is>
          <t>2026-07-13T18:20:13+00:00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1138527.930917483</v>
      </c>
      <c r="I2" s="6" t="n">
        <v>0</v>
      </c>
      <c r="J2" s="6" t="n">
        <v>1138527.930917483</v>
      </c>
      <c r="K2" s="6" t="n">
        <v>0</v>
      </c>
      <c r="L2" s="6" t="n">
        <v>593328991.80363</v>
      </c>
      <c r="M2" s="7" t="n">
        <v>1</v>
      </c>
      <c r="N2" s="6" t="n">
        <v>1565143.19497787</v>
      </c>
      <c r="O2" s="6" t="n">
        <v>1565143.19497787</v>
      </c>
      <c r="P2" s="6" t="n">
        <v>-426615.2640603865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1384774.002548249</v>
      </c>
      <c r="O3" s="6" t="n">
        <v>1384774.002548249</v>
      </c>
      <c r="P3" s="6" t="n">
        <v>1440225.997451751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1203672.78641139</v>
      </c>
      <c r="O4" s="6" t="n">
        <v>1203672.78641139</v>
      </c>
      <c r="P4" s="6" t="n">
        <v>49425.78739587629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616367.7711030734</v>
      </c>
      <c r="O5" s="6" t="n">
        <v>616367.7711030734</v>
      </c>
      <c r="P5" s="6" t="n">
        <v>102047.7092839614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412444.797003</v>
      </c>
      <c r="I6" s="6" t="n">
        <v>0</v>
      </c>
      <c r="J6" s="6" t="n">
        <v>412444.797003</v>
      </c>
      <c r="K6" s="6" t="n">
        <v>0</v>
      </c>
      <c r="L6" s="6" t="n">
        <v>224924210.3868782</v>
      </c>
      <c r="M6" s="7" t="n">
        <v>1</v>
      </c>
      <c r="N6" s="6" t="n">
        <v>593327.8200390128</v>
      </c>
      <c r="O6" s="6" t="n">
        <v>593327.8200390128</v>
      </c>
      <c r="P6" s="6" t="n">
        <v>-180883.0230360128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517727.4401808599</v>
      </c>
      <c r="O7" s="6" t="n">
        <v>472627.0549992634</v>
      </c>
      <c r="P7" s="6" t="n">
        <v>73666.44077687016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451513.6980014258</v>
      </c>
      <c r="O8" s="6" t="n">
        <v>451513.6980014258</v>
      </c>
      <c r="P8" s="6" t="n">
        <v>130900.7382036949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263790.0413869931</v>
      </c>
      <c r="O9" s="6" t="n">
        <v>263790.0413869931</v>
      </c>
      <c r="P9" s="6" t="n">
        <v>-250963.3916980755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263773.5424329087</v>
      </c>
      <c r="O10" s="6" t="n">
        <v>263773.5424329087</v>
      </c>
      <c r="P10" s="6" t="n">
        <v>-202460.5553959087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266710.0358992305</v>
      </c>
      <c r="O11" s="6" t="n">
        <v>243476.3333420496</v>
      </c>
      <c r="P11" s="6" t="n">
        <v>37949.65755978475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198051.7262334171</v>
      </c>
      <c r="O12" s="6" t="n">
        <v>180799.0012554115</v>
      </c>
      <c r="P12" s="6" t="n">
        <v>28180.39885279061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115564.1832958396</v>
      </c>
      <c r="O13" s="6" t="n">
        <v>115564.1832958396</v>
      </c>
      <c r="P13" s="6" t="n">
        <v>-11755.56250883958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88007.93491658045</v>
      </c>
      <c r="O14" s="6" t="n">
        <v>88007.93491658045</v>
      </c>
      <c r="P14" s="6" t="n">
        <v>13939.04652463357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34614.62519546403</v>
      </c>
      <c r="O16" s="6" t="n">
        <v>34614.62519546403</v>
      </c>
      <c r="P16" s="6" t="n">
        <v>23849.5334591215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19422.097365</v>
      </c>
      <c r="I17" s="6" t="n">
        <v>0</v>
      </c>
      <c r="J17" s="6" t="n">
        <v>19422.097365</v>
      </c>
      <c r="K17" s="6" t="n">
        <v>0</v>
      </c>
      <c r="L17" s="6" t="n">
        <v>10000242.05005375</v>
      </c>
      <c r="M17" s="7" t="n">
        <v>1</v>
      </c>
      <c r="N17" s="6" t="n">
        <v>26379.64941708653</v>
      </c>
      <c r="O17" s="6" t="n">
        <v>26379.64941708653</v>
      </c>
      <c r="P17" s="6" t="n">
        <v>-6957.552052086534</v>
      </c>
      <c r="Q17" s="6" t="n">
        <v>0</v>
      </c>
      <c r="R17" s="6" t="n">
        <v>0</v>
      </c>
      <c r="S17" t="inlineStr"/>
    </row>
    <row r="18">
      <c r="A18" t="inlineStr">
        <is>
          <t>S49</t>
        </is>
      </c>
      <c r="B18" t="inlineStr">
        <is>
          <t>USDC raw (Optimism — ALM idle)</t>
        </is>
      </c>
      <c r="C18" t="inlineStr">
        <is>
          <t>optimism</t>
        </is>
      </c>
      <c r="D18" t="inlineStr">
        <is>
          <t>A</t>
        </is>
      </c>
      <c r="E18" s="6" t="n">
        <v>5000000</v>
      </c>
      <c r="F18" s="6" t="n">
        <v>5000000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5000000</v>
      </c>
      <c r="M18" s="7" t="n">
        <v>1</v>
      </c>
      <c r="N18" s="6" t="n">
        <v>13189.5054564928</v>
      </c>
      <c r="O18" s="6" t="n">
        <v>13189.5054564928</v>
      </c>
      <c r="P18" s="6" t="n">
        <v>-13189.5054564928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4997665.827264</v>
      </c>
      <c r="G19" s="6" t="n">
        <v>-2334.172736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4999916.636688</v>
      </c>
      <c r="M19" s="7" t="n">
        <v>1</v>
      </c>
      <c r="N19" s="6" t="n">
        <v>13189.2855523211</v>
      </c>
      <c r="O19" s="6" t="n">
        <v>13189.2855523211</v>
      </c>
      <c r="P19" s="6" t="n">
        <v>-13189.2855523211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4994817.315553</v>
      </c>
      <c r="F20" s="6" t="n">
        <v>4983790.597531</v>
      </c>
      <c r="G20" s="6" t="n">
        <v>-11026.718022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4994423.504195072</v>
      </c>
      <c r="M20" s="7" t="n">
        <v>1</v>
      </c>
      <c r="N20" s="6" t="n">
        <v>13174.79521212336</v>
      </c>
      <c r="O20" s="6" t="n">
        <v>13174.79521212336</v>
      </c>
      <c r="P20" s="6" t="n">
        <v>-13174.79521212336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4979093.435761</v>
      </c>
      <c r="F21" s="6" t="n">
        <v>5000000</v>
      </c>
      <c r="G21" s="6" t="n">
        <v>20906.564239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4979840.098769535</v>
      </c>
      <c r="M21" s="7" t="n">
        <v>1</v>
      </c>
      <c r="N21" s="6" t="n">
        <v>13136.32563103649</v>
      </c>
      <c r="O21" s="6" t="n">
        <v>13136.32563103649</v>
      </c>
      <c r="P21" s="6" t="n">
        <v>-13136.32563103649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2573.905184568199</v>
      </c>
      <c r="O23" s="6" t="n">
        <v>2573.905184568199</v>
      </c>
      <c r="P23" s="6" t="n">
        <v>-313.0334667635919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2567.773151983895</v>
      </c>
      <c r="O24" s="6" t="n">
        <v>2344.088739635614</v>
      </c>
      <c r="P24" s="6" t="n">
        <v>365.3634985292247</v>
      </c>
      <c r="Q24" s="6" t="n">
        <v>0</v>
      </c>
      <c r="R24" s="6" t="n">
        <v>223.6844123482817</v>
      </c>
      <c r="S24" t="inlineStr"/>
    </row>
    <row r="25">
      <c r="A25" t="inlineStr">
        <is>
          <t>S62</t>
        </is>
      </c>
      <c r="B25" t="inlineStr">
        <is>
          <t>Spark.fi USDT Reserve Uniswap V4 (USDT/USDS)</t>
        </is>
      </c>
      <c r="C25" t="inlineStr">
        <is>
          <t>ethereum</t>
        </is>
      </c>
      <c r="D25" t="inlineStr">
        <is>
          <t>F</t>
        </is>
      </c>
      <c r="E25" s="6" t="n">
        <v>0</v>
      </c>
      <c r="F25" s="6" t="n">
        <v>219994.2553850041</v>
      </c>
      <c r="G25" s="6" t="n">
        <v>219994.2553850041</v>
      </c>
      <c r="H25" s="6" t="n">
        <v>-2.62944411170806</v>
      </c>
      <c r="I25" s="6" t="n">
        <v>0</v>
      </c>
      <c r="J25" s="6" t="n">
        <v>0</v>
      </c>
      <c r="K25" s="6" t="n">
        <v>-2.62944411170806</v>
      </c>
      <c r="L25" s="6" t="n">
        <v>78570.31601039848</v>
      </c>
      <c r="M25" s="7" t="n">
        <v>0</v>
      </c>
      <c r="N25" s="6" t="n">
        <v>0</v>
      </c>
      <c r="O25" s="6" t="n">
        <v>-2.62944411170806</v>
      </c>
      <c r="P25" s="6" t="n">
        <v>0</v>
      </c>
      <c r="Q25" s="6" t="n">
        <v>78570.31601039848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61.15121926789406</v>
      </c>
      <c r="F26" s="6" t="n">
        <v>494.7150552250027</v>
      </c>
      <c r="G26" s="6" t="n">
        <v>433.5638359571087</v>
      </c>
      <c r="H26" s="6" t="n">
        <v>1.217080131948199</v>
      </c>
      <c r="I26" s="6" t="n">
        <v>0</v>
      </c>
      <c r="J26" s="6" t="n">
        <v>1.217080131948199</v>
      </c>
      <c r="K26" s="6" t="n">
        <v>0</v>
      </c>
      <c r="L26" s="6" t="n">
        <v>499.159737975814</v>
      </c>
      <c r="M26" s="7" t="n">
        <v>1</v>
      </c>
      <c r="N26" s="6" t="n">
        <v>1.316734017538703</v>
      </c>
      <c r="O26" s="6" t="n">
        <v>1.316734017538703</v>
      </c>
      <c r="P26" s="6" t="n">
        <v>-0.09965388559050392</v>
      </c>
      <c r="Q26" s="6" t="n">
        <v>0</v>
      </c>
      <c r="R26" s="6" t="n">
        <v>0</v>
      </c>
      <c r="S26" t="inlineStr"/>
    </row>
    <row r="27">
      <c r="A27" t="inlineStr">
        <is>
          <t>S12</t>
        </is>
      </c>
      <c r="B27" t="inlineStr">
        <is>
          <t>Spark DAI Vault (Morpho)</t>
        </is>
      </c>
      <c r="C27" t="inlineStr">
        <is>
          <t>ethereum</t>
        </is>
      </c>
      <c r="D27" t="inlineStr">
        <is>
          <t>B</t>
        </is>
      </c>
      <c r="E27" s="6" t="n">
        <v>332.9212943539781</v>
      </c>
      <c r="F27" s="6" t="n">
        <v>344.9608587271188</v>
      </c>
      <c r="G27" s="6" t="n">
        <v>12.0395643731406</v>
      </c>
      <c r="H27" s="6" t="n">
        <v>1.26224901053333</v>
      </c>
      <c r="I27" s="6" t="n">
        <v>0</v>
      </c>
      <c r="J27" s="6" t="n">
        <v>1.26224901053333</v>
      </c>
      <c r="K27" s="6" t="n">
        <v>0</v>
      </c>
      <c r="L27" s="6" t="n">
        <v>336.3854314348162</v>
      </c>
      <c r="M27" s="7" t="n">
        <v>1</v>
      </c>
      <c r="N27" s="6" t="n">
        <v>0.8873514966788385</v>
      </c>
      <c r="O27" s="6" t="n">
        <v>0.8873514966788385</v>
      </c>
      <c r="P27" s="6" t="n">
        <v>0.3748975138544917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0.7488928625693819</v>
      </c>
      <c r="O28" s="6" t="n">
        <v>0.7488928625693819</v>
      </c>
      <c r="P28" s="6" t="n">
        <v>-0.7488928625693819</v>
      </c>
      <c r="Q28" s="6" t="n">
        <v>0</v>
      </c>
      <c r="R28" s="6" t="n">
        <v>0</v>
      </c>
      <c r="S28" t="inlineStr"/>
    </row>
    <row r="29">
      <c r="A29" t="inlineStr">
        <is>
          <t>S16</t>
        </is>
      </c>
      <c r="B29" t="inlineStr">
        <is>
          <t>Ethena Staked USDe (sUSDe)</t>
        </is>
      </c>
      <c r="C29" t="inlineStr">
        <is>
          <t>ethereum</t>
        </is>
      </c>
      <c r="D29" t="inlineStr">
        <is>
          <t>B</t>
        </is>
      </c>
      <c r="E29" s="6" t="n">
        <v>98.60727406618892</v>
      </c>
      <c r="F29" s="6" t="n">
        <v>98.88131626312872</v>
      </c>
      <c r="G29" s="6" t="n">
        <v>0.2740421969397932</v>
      </c>
      <c r="H29" s="6" t="n">
        <v>0.2740421969397932</v>
      </c>
      <c r="I29" s="6" t="n">
        <v>0</v>
      </c>
      <c r="J29" s="6" t="n">
        <v>0.2740421969397932</v>
      </c>
      <c r="K29" s="6" t="n">
        <v>0</v>
      </c>
      <c r="L29" s="6" t="n">
        <v>98.60727406618892</v>
      </c>
      <c r="M29" s="7" t="n">
        <v>1</v>
      </c>
      <c r="N29" s="6" t="n">
        <v>0.2601162358691759</v>
      </c>
      <c r="O29" s="6" t="n">
        <v>0.2601162358691759</v>
      </c>
      <c r="P29" s="6" t="n">
        <v>0.01392596107061727</v>
      </c>
      <c r="Q29" s="6" t="n">
        <v>0</v>
      </c>
      <c r="R29" s="6" t="n">
        <v>0</v>
      </c>
      <c r="S29" t="inlineStr"/>
    </row>
    <row r="30">
      <c r="A30" t="inlineStr">
        <is>
          <t>S27</t>
        </is>
      </c>
      <c r="B30" t="inlineStr">
        <is>
          <t>USDT raw (ALM idle — $442M as of 2026-04)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1868.74164</v>
      </c>
      <c r="G30" s="6" t="n">
        <v>1868.74164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66.74077285714286</v>
      </c>
      <c r="M30" s="7" t="n">
        <v>1</v>
      </c>
      <c r="N30" s="6" t="n">
        <v>0.1760555575539664</v>
      </c>
      <c r="O30" s="6" t="n">
        <v>0.1760555575539664</v>
      </c>
      <c r="P30" s="6" t="n">
        <v>-0.1760555575539664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0.05778714825231409</v>
      </c>
      <c r="O31" s="6" t="n">
        <v>0.05778714825231409</v>
      </c>
      <c r="P31" s="6" t="n">
        <v>-0.05777689220490943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0</v>
      </c>
      <c r="F32" s="6" t="n">
        <v>220000.0301712902</v>
      </c>
      <c r="G32" s="6" t="n">
        <v>220000.0301712902</v>
      </c>
      <c r="H32" s="6" t="n">
        <v>0.0310806706219395</v>
      </c>
      <c r="I32" s="6" t="n">
        <v>0</v>
      </c>
      <c r="J32" s="6" t="n">
        <v>0</v>
      </c>
      <c r="K32" s="6" t="n">
        <v>0.0310806706219395</v>
      </c>
      <c r="L32" s="6" t="n">
        <v>78571.42824664984</v>
      </c>
      <c r="M32" s="7" t="n">
        <v>0</v>
      </c>
      <c r="N32" s="6" t="n">
        <v>0</v>
      </c>
      <c r="O32" s="6" t="n">
        <v>0.0310806706219395</v>
      </c>
      <c r="P32" s="6" t="n">
        <v>0</v>
      </c>
      <c r="Q32" s="6" t="n">
        <v>78571.42824664984</v>
      </c>
      <c r="R32" s="6" t="n">
        <v>0</v>
      </c>
      <c r="S32" t="inlineStr">
        <is>
          <t>SDE (fixed)</t>
        </is>
      </c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1.210584</v>
      </c>
      <c r="F33" s="6" t="n">
        <v>1.210594</v>
      </c>
      <c r="G33" s="6" t="n">
        <v>1e-05</v>
      </c>
      <c r="H33" s="6" t="n">
        <v>1e-05</v>
      </c>
      <c r="I33" s="6" t="n">
        <v>0</v>
      </c>
      <c r="J33" s="6" t="n">
        <v>1e-05</v>
      </c>
      <c r="K33" s="6" t="n">
        <v>0</v>
      </c>
      <c r="L33" s="6" t="n">
        <v>1.210584</v>
      </c>
      <c r="M33" s="7" t="n">
        <v>1</v>
      </c>
      <c r="N33" s="6" t="n">
        <v>0.003193400854708576</v>
      </c>
      <c r="O33" s="6" t="n">
        <v>0.003193400854708576</v>
      </c>
      <c r="P33" s="6" t="n">
        <v>-0.003183400854708576</v>
      </c>
      <c r="Q33" s="6" t="n">
        <v>0</v>
      </c>
      <c r="R33" s="6" t="n">
        <v>0</v>
      </c>
      <c r="S33" t="inlineStr"/>
    </row>
    <row r="34">
      <c r="A34" t="inlineStr">
        <is>
          <t>S8</t>
        </is>
      </c>
      <c r="B34" t="inlineStr">
        <is>
          <t>Aave Ethereum USDC (aToken)</t>
        </is>
      </c>
      <c r="C34" t="inlineStr">
        <is>
          <t>ethereum</t>
        </is>
      </c>
      <c r="D34" t="inlineStr">
        <is>
          <t>C</t>
        </is>
      </c>
      <c r="E34" s="6" t="n">
        <v>0.057354</v>
      </c>
      <c r="F34" s="6" t="n">
        <v>0.057463</v>
      </c>
      <c r="G34" s="6" t="n">
        <v>0.000109</v>
      </c>
      <c r="H34" s="6" t="n">
        <v>0.000109</v>
      </c>
      <c r="I34" s="6" t="n">
        <v>0</v>
      </c>
      <c r="J34" s="6" t="n">
        <v>0.000109</v>
      </c>
      <c r="K34" s="6" t="n">
        <v>0</v>
      </c>
      <c r="L34" s="6" t="n">
        <v>0.057354</v>
      </c>
      <c r="M34" s="7" t="n">
        <v>1</v>
      </c>
      <c r="N34" s="6" t="n">
        <v>0.0001512941791903376</v>
      </c>
      <c r="O34" s="6" t="n">
        <v>0.0001512941791903376</v>
      </c>
      <c r="P34" s="6" t="n">
        <v>-4.22941791903376e-05</v>
      </c>
      <c r="Q34" s="6" t="n">
        <v>0</v>
      </c>
      <c r="R34" s="6" t="n">
        <v>0</v>
      </c>
      <c r="S34" t="inlineStr"/>
    </row>
    <row r="35">
      <c r="A35" t="inlineStr">
        <is>
          <t>S41</t>
        </is>
      </c>
      <c r="B35" t="inlineStr">
        <is>
          <t>Aave Arbitrum USDCn (aArbUSDCn)</t>
        </is>
      </c>
      <c r="C35" t="inlineStr">
        <is>
          <t>arbitrum</t>
        </is>
      </c>
      <c r="D35" t="inlineStr">
        <is>
          <t>C</t>
        </is>
      </c>
      <c r="E35" s="6" t="n">
        <v>0.00631</v>
      </c>
      <c r="F35" s="6" t="n">
        <v>0.006319</v>
      </c>
      <c r="G35" s="6" t="n">
        <v>9e-06</v>
      </c>
      <c r="H35" s="6" t="n">
        <v>9e-06</v>
      </c>
      <c r="I35" s="6" t="n">
        <v>0</v>
      </c>
      <c r="J35" s="6" t="n">
        <v>9e-06</v>
      </c>
      <c r="K35" s="6" t="n">
        <v>0</v>
      </c>
      <c r="L35" s="6" t="n">
        <v>0.00631</v>
      </c>
      <c r="M35" s="7" t="n">
        <v>1</v>
      </c>
      <c r="N35" s="6" t="n">
        <v>1.664515588609391e-05</v>
      </c>
      <c r="O35" s="6" t="n">
        <v>1.664515588609391e-05</v>
      </c>
      <c r="P35" s="6" t="n">
        <v>-7.645155886093912e-06</v>
      </c>
      <c r="Q35" s="6" t="n">
        <v>0</v>
      </c>
      <c r="R35" s="6" t="n">
        <v>0</v>
      </c>
      <c r="S35" t="inlineStr"/>
    </row>
    <row r="36">
      <c r="A36" t="inlineStr">
        <is>
          <t>S7</t>
        </is>
      </c>
      <c r="B36" t="inlineStr">
        <is>
          <t>Aave Ethereum USDS (aToken)</t>
        </is>
      </c>
      <c r="C36" t="inlineStr">
        <is>
          <t>ethereum</t>
        </is>
      </c>
      <c r="D36" t="inlineStr">
        <is>
          <t>C</t>
        </is>
      </c>
      <c r="E36" s="6" t="n">
        <v>0.005739369858543872</v>
      </c>
      <c r="F36" s="6" t="n">
        <v>0.005740696354252308</v>
      </c>
      <c r="G36" s="6" t="n">
        <v>1.326495708436e-06</v>
      </c>
      <c r="H36" s="6" t="n">
        <v>1.326495708436e-06</v>
      </c>
      <c r="I36" s="6" t="n">
        <v>0</v>
      </c>
      <c r="J36" s="6" t="n">
        <v>1.326495708436e-06</v>
      </c>
      <c r="K36" s="6" t="n">
        <v>0</v>
      </c>
      <c r="L36" s="6" t="n">
        <v>0.005739369858543872</v>
      </c>
      <c r="M36" s="7" t="n">
        <v>1</v>
      </c>
      <c r="N36" s="6" t="n">
        <v>1.513989001321894e-05</v>
      </c>
      <c r="O36" s="6" t="n">
        <v>1.513989001321894e-05</v>
      </c>
      <c r="P36" s="6" t="n">
        <v>-1.381339430478294e-05</v>
      </c>
      <c r="Q36" s="6" t="n">
        <v>0</v>
      </c>
      <c r="R36" s="6" t="n">
        <v>0</v>
      </c>
      <c r="S36" t="inlineStr"/>
    </row>
    <row r="37">
      <c r="A37" t="inlineStr">
        <is>
          <t>S35</t>
        </is>
      </c>
      <c r="B37" t="inlineStr">
        <is>
          <t>Aave Base USDC (aBasUSDC)</t>
        </is>
      </c>
      <c r="C37" t="inlineStr">
        <is>
          <t>base</t>
        </is>
      </c>
      <c r="D37" t="inlineStr">
        <is>
          <t>C</t>
        </is>
      </c>
      <c r="E37" s="6" t="n">
        <v>0.001688</v>
      </c>
      <c r="F37" s="6" t="n">
        <v>0.001692</v>
      </c>
      <c r="G37" s="6" t="n">
        <v>4e-06</v>
      </c>
      <c r="H37" s="6" t="n">
        <v>4e-06</v>
      </c>
      <c r="I37" s="6" t="n">
        <v>0</v>
      </c>
      <c r="J37" s="6" t="n">
        <v>4e-06</v>
      </c>
      <c r="K37" s="6" t="n">
        <v>0</v>
      </c>
      <c r="L37" s="6" t="n">
        <v>0.001688</v>
      </c>
      <c r="M37" s="7" t="n">
        <v>1</v>
      </c>
      <c r="N37" s="6" t="n">
        <v>4.452777042111969e-06</v>
      </c>
      <c r="O37" s="6" t="n">
        <v>4.452777042111969e-06</v>
      </c>
      <c r="P37" s="6" t="n">
        <v>-4.527770421119689e-07</v>
      </c>
      <c r="Q37" s="6" t="n">
        <v>0</v>
      </c>
      <c r="R37" s="6" t="n">
        <v>0</v>
      </c>
      <c r="S37" t="inlineStr"/>
    </row>
    <row r="38">
      <c r="A38" t="inlineStr">
        <is>
          <t>S17</t>
        </is>
      </c>
      <c r="B38" t="inlineStr">
        <is>
          <t>Fluid Savings USDS (fsUSDS)</t>
        </is>
      </c>
      <c r="C38" t="inlineStr">
        <is>
          <t>ethereum</t>
        </is>
      </c>
      <c r="D38" t="inlineStr">
        <is>
          <t>B</t>
        </is>
      </c>
      <c r="E38" s="6" t="n">
        <v>0.001240144670509943</v>
      </c>
      <c r="F38" s="6" t="n">
        <v>0.001240144670509943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0.001240144670509943</v>
      </c>
      <c r="M38" s="7" t="n">
        <v>1</v>
      </c>
      <c r="N38" s="6" t="n">
        <v>3.271378979706272e-06</v>
      </c>
      <c r="O38" s="6" t="n">
        <v>3.271378979706272e-06</v>
      </c>
      <c r="P38" s="6" t="n">
        <v>-3.271378979706272e-06</v>
      </c>
      <c r="Q38" s="6" t="n">
        <v>0</v>
      </c>
      <c r="R38" s="6" t="n">
        <v>0</v>
      </c>
      <c r="S38" t="inlineStr"/>
    </row>
    <row r="39">
      <c r="A39" t="inlineStr">
        <is>
          <t>S6</t>
        </is>
      </c>
      <c r="B39" t="inlineStr">
        <is>
          <t>Aave Ethereum Lido USDS (aToken)</t>
        </is>
      </c>
      <c r="C39" t="inlineStr">
        <is>
          <t>ethereum</t>
        </is>
      </c>
      <c r="D39" t="inlineStr">
        <is>
          <t>C</t>
        </is>
      </c>
      <c r="E39" s="6" t="n">
        <v>0.000518423030497757</v>
      </c>
      <c r="F39" s="6" t="n">
        <v>0.000519245328957253</v>
      </c>
      <c r="G39" s="6" t="n">
        <v>8.22298459496e-07</v>
      </c>
      <c r="H39" s="6" t="n">
        <v>8.22298459496e-07</v>
      </c>
      <c r="I39" s="6" t="n">
        <v>0</v>
      </c>
      <c r="J39" s="6" t="n">
        <v>8.22298459496e-07</v>
      </c>
      <c r="K39" s="6" t="n">
        <v>0</v>
      </c>
      <c r="L39" s="6" t="n">
        <v>0.000518423030497757</v>
      </c>
      <c r="M39" s="7" t="n">
        <v>1</v>
      </c>
      <c r="N39" s="6" t="n">
        <v>1.36754867790434e-06</v>
      </c>
      <c r="O39" s="6" t="n">
        <v>1.36754867790434e-06</v>
      </c>
      <c r="P39" s="6" t="n">
        <v>-5.452502184083397e-07</v>
      </c>
      <c r="Q39" s="6" t="n">
        <v>0</v>
      </c>
      <c r="R39" s="6" t="n">
        <v>0</v>
      </c>
      <c r="S39" t="inlineStr"/>
    </row>
    <row r="40">
      <c r="A40" t="inlineStr">
        <is>
          <t>S30</t>
        </is>
      </c>
      <c r="B40" t="inlineStr">
        <is>
          <t>USDe raw (ALM idle)</t>
        </is>
      </c>
      <c r="C40" t="inlineStr">
        <is>
          <t>ethereum</t>
        </is>
      </c>
      <c r="D40" t="inlineStr">
        <is>
          <t>A</t>
        </is>
      </c>
      <c r="E40" s="6" t="n">
        <v>7.4896275897803e-05</v>
      </c>
      <c r="F40" s="6" t="n">
        <v>7.4896275897803e-05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7.4896275897803e-05</v>
      </c>
      <c r="M40" s="7" t="n">
        <v>1</v>
      </c>
      <c r="N40" s="6" t="n">
        <v>1.975689679250125e-07</v>
      </c>
      <c r="O40" s="6" t="n">
        <v>1.975689679250125e-07</v>
      </c>
      <c r="P40" s="6" t="n">
        <v>-1.975689679250125e-07</v>
      </c>
      <c r="Q40" s="6" t="n">
        <v>0</v>
      </c>
      <c r="R40" s="6" t="n">
        <v>0</v>
      </c>
      <c r="S40" t="inlineStr"/>
    </row>
    <row r="41">
      <c r="A41" t="inlineStr">
        <is>
          <t>S9</t>
        </is>
      </c>
      <c r="B41" t="inlineStr">
        <is>
          <t>Aave Ethereum USDT (aToken)</t>
        </is>
      </c>
      <c r="C41" t="inlineStr">
        <is>
          <t>ethereum</t>
        </is>
      </c>
      <c r="D41" t="inlineStr">
        <is>
          <t>C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S11</t>
        </is>
      </c>
      <c r="B42" t="inlineStr">
        <is>
          <t>Spark Blue Chip USDT Vault (Morpho V2)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891779.999999939</v>
      </c>
      <c r="I47" s="6" t="n">
        <v>0</v>
      </c>
      <c r="J47" s="6" t="n">
        <v>891779.999999939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891779.999999939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65170000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65170000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65170000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207131500.431691</v>
      </c>
      <c r="F60" s="6" t="n">
        <v>287780830.420175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120038508.359851</v>
      </c>
      <c r="F61" s="6" t="n">
        <v>387977397.421864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285387.136685</v>
      </c>
      <c r="F62" s="6" t="n">
        <v>94443.720094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95656876.179346</v>
      </c>
      <c r="F63" s="6" t="n">
        <v>152857139.195815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2507919163.266385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1507919163.266385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0.03668000007901918</v>
      </c>
    </row>
    <row r="11">
      <c r="A11" s="8" t="inlineStr">
        <is>
          <t>Effective blended rate charged</t>
        </is>
      </c>
      <c r="B11" s="10" t="n">
        <v>0.04055213531137732</v>
      </c>
    </row>
    <row r="12">
      <c r="A12" s="8" t="inlineStr">
        <is>
          <t>Diff vs base rate (bps)</t>
        </is>
      </c>
      <c r="B12" s="11" t="n">
        <v>-25.67866585083047</v>
      </c>
    </row>
    <row r="13">
      <c r="A13" s="8" t="inlineStr">
        <is>
          <t>Subsidy benefit to prime (USD)</t>
        </is>
      </c>
      <c r="B13" s="12" t="n">
        <v>475124.5953942272</v>
      </c>
    </row>
    <row r="15">
      <c r="A15" t="inlineStr">
        <is>
          <t>CoF at full base rate (no subsidy)</t>
        </is>
      </c>
      <c r="B15" s="3" t="n">
        <v>8122378.087945241</v>
      </c>
    </row>
    <row r="16">
      <c r="A16" t="inlineStr">
        <is>
          <t xml:space="preserve">  − actual CoF (subsidy on first tranche)</t>
        </is>
      </c>
      <c r="B16" s="3" t="n">
        <v>7647253.492551014</v>
      </c>
    </row>
    <row r="17">
      <c r="A17" s="8" t="inlineStr">
        <is>
          <t xml:space="preserve">  = subsidy benefit</t>
        </is>
      </c>
      <c r="B17" s="12" t="n">
        <v>475124.5953942272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2763567.547045653</v>
      </c>
    </row>
    <row r="21">
      <c r="A21" t="inlineStr">
        <is>
          <t>Excess (&gt; cap)</t>
        </is>
      </c>
      <c r="B21" s="6" t="n">
        <v>1507919163.266385</v>
      </c>
      <c r="C21" s="3" t="n">
        <v>4883685.945505361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7486257.239294591</v>
      </c>
    </row>
    <row r="25">
      <c r="A25" t="inlineStr">
        <is>
          <t>+ Sky-Direct revenue (full venue yield on fixed/capped SDE)</t>
        </is>
      </c>
      <c r="B25" s="3" t="n">
        <v>3731.279390607106</v>
      </c>
    </row>
    <row r="26">
      <c r="A26" t="inlineStr">
        <is>
          <t>equals sky_revenue (total Sky take this month)</t>
        </is>
      </c>
      <c r="B26" s="3" t="n">
        <v>7489988.518685198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10052985.99596801</v>
      </c>
    </row>
    <row r="31">
      <c r="A31" t="inlineStr">
        <is>
          <t xml:space="preserve">    ↳ actual CoF on Net_Subs (BR × utilized)</t>
        </is>
      </c>
      <c r="B31" s="3" t="n">
        <v>7486257.239294591</v>
      </c>
    </row>
    <row r="32">
      <c r="A32" t="inlineStr">
        <is>
          <t xml:space="preserve">    ↳ reduction from idle/SDE deductions</t>
        </is>
      </c>
      <c r="B32" s="3" t="n">
        <v>-2566728.75667342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0.0310806706219395</v>
      </c>
      <c r="J6" s="6" t="n">
        <v>0.0310806706219395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-2.62944411170806</v>
      </c>
      <c r="J7" s="6" t="n">
        <v>-2.62944411170806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0.0364</v>
      </c>
      <c r="M6" s="7" t="n">
        <v>0.03668000007901918</v>
      </c>
      <c r="N6" s="3" t="n">
        <v>271745.3615508727</v>
      </c>
      <c r="O6" s="3" t="n">
        <v>365045.1446174522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0.0364</v>
      </c>
      <c r="M7" s="7" t="n">
        <v>0.03668000007901918</v>
      </c>
      <c r="N7" s="3" t="n">
        <v>267134.214574907</v>
      </c>
      <c r="O7" s="3" t="n">
        <v>358933.3596232593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0.0364</v>
      </c>
      <c r="M8" s="7" t="n">
        <v>0.03668000007901918</v>
      </c>
      <c r="N8" s="3" t="n">
        <v>270718.1201947443</v>
      </c>
      <c r="O8" s="3" t="n">
        <v>362630.5695722945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0.0364</v>
      </c>
      <c r="M9" s="7" t="n">
        <v>0.03668000007901918</v>
      </c>
      <c r="N9" s="3" t="n">
        <v>271294.5333121629</v>
      </c>
      <c r="O9" s="3" t="n">
        <v>362837.1153855179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0.0364</v>
      </c>
      <c r="M10" s="7" t="n">
        <v>0.03668000007901918</v>
      </c>
      <c r="N10" s="3" t="n">
        <v>262626.3951698382</v>
      </c>
      <c r="O10" s="3" t="n">
        <v>352285.4117331658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0.0364</v>
      </c>
      <c r="M11" s="7" t="n">
        <v>0.03668000007901918</v>
      </c>
      <c r="N11" s="3" t="n">
        <v>259059.7101727402</v>
      </c>
      <c r="O11" s="3" t="n">
        <v>343865.6754166156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0.0364</v>
      </c>
      <c r="M12" s="7" t="n">
        <v>0.03668000007901918</v>
      </c>
      <c r="N12" s="3" t="n">
        <v>258910.4751153023</v>
      </c>
      <c r="O12" s="3" t="n">
        <v>342602.4304809652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0.0364</v>
      </c>
      <c r="M13" s="7" t="n">
        <v>0.03668000007901918</v>
      </c>
      <c r="N13" s="3" t="n">
        <v>260275.2254159482</v>
      </c>
      <c r="O13" s="3" t="n">
        <v>342600.8001298214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0.0364</v>
      </c>
      <c r="M14" s="7" t="n">
        <v>0.03668000007901918</v>
      </c>
      <c r="N14" s="3" t="n">
        <v>273315.1784996446</v>
      </c>
      <c r="O14" s="3" t="n">
        <v>356947.1621907688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0.0364</v>
      </c>
      <c r="M15" s="7" t="n">
        <v>0.03668000007901918</v>
      </c>
      <c r="N15" s="3" t="n">
        <v>275296.5746392221</v>
      </c>
      <c r="O15" s="3" t="n">
        <v>358994.0779206661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0.0364</v>
      </c>
      <c r="M16" s="7" t="n">
        <v>0.03668000007901918</v>
      </c>
      <c r="N16" s="3" t="n">
        <v>278135.3942824989</v>
      </c>
      <c r="O16" s="3" t="n">
        <v>363349.5738365015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0.0364</v>
      </c>
      <c r="M17" s="7" t="n">
        <v>0.03668000007901918</v>
      </c>
      <c r="N17" s="3" t="n">
        <v>278759.5527566056</v>
      </c>
      <c r="O17" s="3" t="n">
        <v>362299.4055865003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0.0364</v>
      </c>
      <c r="M18" s="7" t="n">
        <v>0.03668000007901918</v>
      </c>
      <c r="N18" s="3" t="n">
        <v>281019.9091966764</v>
      </c>
      <c r="O18" s="3" t="n">
        <v>363695.0519874501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0.0364</v>
      </c>
      <c r="M19" s="7" t="n">
        <v>0.03668000007901918</v>
      </c>
      <c r="N19" s="3" t="n">
        <v>276469.5665485744</v>
      </c>
      <c r="O19" s="3" t="n">
        <v>360040.4861536592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0.0364</v>
      </c>
      <c r="M20" s="7" t="n">
        <v>0.03668000007901918</v>
      </c>
      <c r="N20" s="3" t="n">
        <v>273156.8445600395</v>
      </c>
      <c r="O20" s="3" t="n">
        <v>356395.9764575384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0.0364</v>
      </c>
      <c r="M21" s="7" t="n">
        <v>0.03668000007901918</v>
      </c>
      <c r="N21" s="3" t="n">
        <v>282384.3186801649</v>
      </c>
      <c r="O21" s="3" t="n">
        <v>364976.4952377997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0.0364</v>
      </c>
      <c r="M22" s="7" t="n">
        <v>0.03668000007901918</v>
      </c>
      <c r="N22" s="3" t="n">
        <v>280950.2860943094</v>
      </c>
      <c r="O22" s="3" t="n">
        <v>365220.1550558825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0.0364</v>
      </c>
      <c r="M23" s="7" t="n">
        <v>0.03668000007901918</v>
      </c>
      <c r="N23" s="3" t="n">
        <v>277542.8851611703</v>
      </c>
      <c r="O23" s="3" t="n">
        <v>361833.5569561925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88869303.80928044</v>
      </c>
      <c r="F24" s="6" t="n">
        <v>64265513.97577874</v>
      </c>
      <c r="G24" s="6" t="n">
        <v>171708475.8308767</v>
      </c>
      <c r="H24" s="6" t="n">
        <v>2512116551.662415</v>
      </c>
      <c r="I24" s="7" t="n">
        <v>0.04000000189078801</v>
      </c>
      <c r="J24" s="7" t="n">
        <v>0.04312000189646037</v>
      </c>
      <c r="K24" t="n">
        <v>1</v>
      </c>
      <c r="L24" s="7" t="n">
        <v>0.0364</v>
      </c>
      <c r="M24" s="7" t="n">
        <v>0.03668000007901918</v>
      </c>
      <c r="N24" s="3" t="n">
        <v>273601.6979060001</v>
      </c>
      <c r="O24" s="3" t="n">
        <v>362162.940994632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86895251.75446941</v>
      </c>
      <c r="F25" s="6" t="n">
        <v>65745995.83678398</v>
      </c>
      <c r="G25" s="6" t="n">
        <v>172162721.2920108</v>
      </c>
      <c r="H25" s="6" t="n">
        <v>2535729078.571169</v>
      </c>
      <c r="I25" s="7" t="n">
        <v>0.04000000189078801</v>
      </c>
      <c r="J25" s="7" t="n">
        <v>0.04312000189646037</v>
      </c>
      <c r="K25" t="n">
        <v>1</v>
      </c>
      <c r="L25" s="7" t="n">
        <v>0.0364</v>
      </c>
      <c r="M25" s="7" t="n">
        <v>0.03668000007901918</v>
      </c>
      <c r="N25" s="3" t="n">
        <v>276332.9016689478</v>
      </c>
      <c r="O25" s="3" t="n">
        <v>364936.3557712165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87637531.43673757</v>
      </c>
      <c r="F26" s="6" t="n">
        <v>54189574.80195495</v>
      </c>
      <c r="G26" s="6" t="n">
        <v>172114598.1401009</v>
      </c>
      <c r="H26" s="6" t="n">
        <v>2549059920.069831</v>
      </c>
      <c r="I26" s="7" t="n">
        <v>0.04000000189078801</v>
      </c>
      <c r="J26" s="7" t="n">
        <v>0.04312000189646037</v>
      </c>
      <c r="K26" t="n">
        <v>1</v>
      </c>
      <c r="L26" s="7" t="n">
        <v>0.0364</v>
      </c>
      <c r="M26" s="7" t="n">
        <v>0.03668000007901918</v>
      </c>
      <c r="N26" s="3" t="n">
        <v>277874.847798013</v>
      </c>
      <c r="O26" s="3" t="n">
        <v>365215.6623250113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88124070.48399515</v>
      </c>
      <c r="F27" s="6" t="n">
        <v>52657779.77695882</v>
      </c>
      <c r="G27" s="6" t="n">
        <v>172130873.8331746</v>
      </c>
      <c r="H27" s="6" t="n">
        <v>2544551386.855224</v>
      </c>
      <c r="I27" s="7" t="n">
        <v>0.04000000189078801</v>
      </c>
      <c r="J27" s="7" t="n">
        <v>0.04312000189646037</v>
      </c>
      <c r="K27" t="n">
        <v>1</v>
      </c>
      <c r="L27" s="7" t="n">
        <v>0.0364</v>
      </c>
      <c r="M27" s="7" t="n">
        <v>0.03668000007901918</v>
      </c>
      <c r="N27" s="3" t="n">
        <v>277353.3566874388</v>
      </c>
      <c r="O27" s="3" t="n">
        <v>364524.1393745443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85902523.83990195</v>
      </c>
      <c r="F28" s="6" t="n">
        <v>67445208.4085051</v>
      </c>
      <c r="G28" s="6" t="n">
        <v>170384756.6215345</v>
      </c>
      <c r="H28" s="6" t="n">
        <v>2521640598.740991</v>
      </c>
      <c r="I28" s="7" t="n">
        <v>0.04000000189078801</v>
      </c>
      <c r="J28" s="7" t="n">
        <v>0.04312000189646037</v>
      </c>
      <c r="K28" t="n">
        <v>1</v>
      </c>
      <c r="L28" s="7" t="n">
        <v>0.0364</v>
      </c>
      <c r="M28" s="7" t="n">
        <v>0.03668000007901918</v>
      </c>
      <c r="N28" s="3" t="n">
        <v>274703.3213502006</v>
      </c>
      <c r="O28" s="3" t="n">
        <v>363114.1247107522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72486558.1043621</v>
      </c>
      <c r="F29" s="6" t="n">
        <v>66243500.21978736</v>
      </c>
      <c r="G29" s="6" t="n">
        <v>164698591.325855</v>
      </c>
      <c r="H29" s="6" t="n">
        <v>2503998396.517566</v>
      </c>
      <c r="I29" s="7" t="n">
        <v>0.04000000189078801</v>
      </c>
      <c r="J29" s="7" t="n">
        <v>0.04312000189646037</v>
      </c>
      <c r="K29" t="n">
        <v>1</v>
      </c>
      <c r="L29" s="7" t="n">
        <v>0.0364</v>
      </c>
      <c r="M29" s="7" t="n">
        <v>0.03668000007901918</v>
      </c>
      <c r="N29" s="3" t="n">
        <v>272662.690574617</v>
      </c>
      <c r="O29" s="3" t="n">
        <v>358725.7219450316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54018304.47331911</v>
      </c>
      <c r="F30" s="6" t="n">
        <v>67251602.87866101</v>
      </c>
      <c r="G30" s="6" t="n">
        <v>164389729.7446583</v>
      </c>
      <c r="H30" s="6" t="n">
        <v>2505350418.740875</v>
      </c>
      <c r="I30" s="7" t="n">
        <v>0.04000000189078801</v>
      </c>
      <c r="J30" s="7" t="n">
        <v>0.04312000189646037</v>
      </c>
      <c r="K30" t="n">
        <v>1</v>
      </c>
      <c r="L30" s="7" t="n">
        <v>0.0364</v>
      </c>
      <c r="M30" s="7" t="n">
        <v>0.03668000007901918</v>
      </c>
      <c r="N30" s="3" t="n">
        <v>272819.0757085824</v>
      </c>
      <c r="O30" s="3" t="n">
        <v>356847.4829846853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59349402.28568321</v>
      </c>
      <c r="F31" s="6" t="n">
        <v>58757754.71710162</v>
      </c>
      <c r="G31" s="6" t="n">
        <v>164299122.520608</v>
      </c>
      <c r="H31" s="6" t="n">
        <v>2503444840.318725</v>
      </c>
      <c r="I31" s="7" t="n">
        <v>0.04000000189078801</v>
      </c>
      <c r="J31" s="7" t="n">
        <v>0.04312000189646037</v>
      </c>
      <c r="K31" t="n">
        <v>1</v>
      </c>
      <c r="L31" s="7" t="n">
        <v>0.0364</v>
      </c>
      <c r="M31" s="7" t="n">
        <v>0.03668000007901918</v>
      </c>
      <c r="N31" s="3" t="n">
        <v>272598.6620706317</v>
      </c>
      <c r="O31" s="3" t="n">
        <v>356243.3116253272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78739566.82541898</v>
      </c>
      <c r="F32" s="6" t="n">
        <v>51892463.07594856</v>
      </c>
      <c r="G32" s="6" t="n">
        <v>161025661.214919</v>
      </c>
      <c r="H32" s="6" t="n">
        <v>2472024759.558458</v>
      </c>
      <c r="I32" s="7" t="n">
        <v>0.04000000189078801</v>
      </c>
      <c r="J32" s="7" t="n">
        <v>0.04312000189646037</v>
      </c>
      <c r="K32" t="n">
        <v>1</v>
      </c>
      <c r="L32" s="7" t="n">
        <v>0.0364</v>
      </c>
      <c r="M32" s="7" t="n">
        <v>0.03668000007901918</v>
      </c>
      <c r="N32" s="3" t="n">
        <v>268964.3774751638</v>
      </c>
      <c r="O32" s="3" t="n">
        <v>353646.0304370871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58227869.12398098</v>
      </c>
      <c r="F33" s="6" t="n">
        <v>44273636.63335567</v>
      </c>
      <c r="G33" s="6" t="n">
        <v>161097957.4296974</v>
      </c>
      <c r="H33" s="6" t="n">
        <v>2580816162.386234</v>
      </c>
      <c r="I33" s="7" t="n">
        <v>0.04000000189078801</v>
      </c>
      <c r="J33" s="7" t="n">
        <v>0.04312000189646037</v>
      </c>
      <c r="K33" t="n">
        <v>1</v>
      </c>
      <c r="L33" s="7" t="n">
        <v>0.0364</v>
      </c>
      <c r="M33" s="7" t="n">
        <v>0.03668000007901918</v>
      </c>
      <c r="N33" s="3" t="n">
        <v>281548.015385997</v>
      </c>
      <c r="O33" s="3" t="n">
        <v>363017.777457673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7647253.492551014</v>
      </c>
      <c r="O35" s="12" t="n">
        <v>10052985.99596801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2026-07-13T18:20:14Z</dcterms:created>
  <dcterms:modified xmlns:dcterms="http://purl.org/dc/terms/" xmlns:xsi="http://www.w3.org/2001/XMLSchema-instance" xsi:type="dcterms:W3CDTF">2026-07-13T18:20:14Z</dcterms:modified>
</cp:coreProperties>
</file>