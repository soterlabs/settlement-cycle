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10291414.08057339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1022253.36</v>
      </c>
    </row>
    <row r="7">
      <c r="A7" t="inlineStr"/>
      <c r="B7" s="4" t="n">
        <v>11428640.93676807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7486766.172836288</v>
      </c>
    </row>
    <row r="11">
      <c r="A11" t="inlineStr">
        <is>
          <t>+ SDE revenue (Sky-Direct, full to Sky)</t>
        </is>
      </c>
      <c r="B11" s="3" t="n">
        <v>3733.877754048192</v>
      </c>
    </row>
    <row r="12">
      <c r="A12" t="inlineStr"/>
      <c r="B12" s="4" t="n">
        <v>7490500.050590336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7486766.172836288</v>
      </c>
    </row>
    <row r="16">
      <c r="A16" t="inlineStr">
        <is>
          <t>reduction from idle/SDE deductions</t>
        </is>
      </c>
      <c r="B16" s="3" t="n">
        <v>-2566219.823131723</v>
      </c>
    </row>
    <row r="17">
      <c r="A17" t="inlineStr"/>
      <c r="B17" s="4" t="n">
        <v>10052985.99596801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10291414.08057339</v>
      </c>
    </row>
    <row r="23">
      <c r="A23" t="inlineStr">
        <is>
          <t>− CoF (deducted per-venue in display)</t>
        </is>
      </c>
      <c r="B23" s="3" t="n">
        <v>-7486766.172836288</v>
      </c>
    </row>
    <row r="24">
      <c r="A24" t="inlineStr"/>
      <c r="B24" s="4" t="n">
        <v>1689699.935517128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2026-07-03T07:18:47+00:00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1565215.730374914</v>
      </c>
      <c r="O2" s="6" t="n">
        <v>1565215.730374914</v>
      </c>
      <c r="P2" s="6" t="n">
        <v>-426687.7994574306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1384838.178869249</v>
      </c>
      <c r="O3" s="6" t="n">
        <v>1384838.178869249</v>
      </c>
      <c r="P3" s="6" t="n">
        <v>1440161.821130751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1203728.569731251</v>
      </c>
      <c r="O4" s="6" t="n">
        <v>1203728.569731251</v>
      </c>
      <c r="P4" s="6" t="n">
        <v>49370.00407601544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616396.3362089024</v>
      </c>
      <c r="O5" s="6" t="n">
        <v>616396.3362089024</v>
      </c>
      <c r="P5" s="6" t="n">
        <v>102019.1441781324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593355.3173754496</v>
      </c>
      <c r="O6" s="6" t="n">
        <v>593355.3173754496</v>
      </c>
      <c r="P6" s="6" t="n">
        <v>-180910.5203734495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517751.4338739319</v>
      </c>
      <c r="O7" s="6" t="n">
        <v>472651.0486923354</v>
      </c>
      <c r="P7" s="6" t="n">
        <v>73642.44708379809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451534.6230678736</v>
      </c>
      <c r="O8" s="6" t="n">
        <v>451534.6230678736</v>
      </c>
      <c r="P8" s="6" t="n">
        <v>130879.813137247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263802.2665402248</v>
      </c>
      <c r="O9" s="6" t="n">
        <v>263802.2665402248</v>
      </c>
      <c r="P9" s="6" t="n">
        <v>-250975.6168513072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263785.7668215087</v>
      </c>
      <c r="O10" s="6" t="n">
        <v>263785.7668215087</v>
      </c>
      <c r="P10" s="6" t="n">
        <v>-202472.7797845087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266722.3963774357</v>
      </c>
      <c r="O11" s="6" t="n">
        <v>243488.6938202549</v>
      </c>
      <c r="P11" s="6" t="n">
        <v>37937.29708157951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198060.9047933366</v>
      </c>
      <c r="O12" s="6" t="n">
        <v>180808.179815331</v>
      </c>
      <c r="P12" s="6" t="n">
        <v>28171.22029287117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115569.539031945</v>
      </c>
      <c r="O13" s="6" t="n">
        <v>115569.539031945</v>
      </c>
      <c r="P13" s="6" t="n">
        <v>-11760.91824494497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88012.01357885409</v>
      </c>
      <c r="O14" s="6" t="n">
        <v>88012.01357885409</v>
      </c>
      <c r="P14" s="6" t="n">
        <v>13934.96786235993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34616.22938451851</v>
      </c>
      <c r="O16" s="6" t="n">
        <v>34616.22938451851</v>
      </c>
      <c r="P16" s="6" t="n">
        <v>23847.92927006701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26380.87196231475</v>
      </c>
      <c r="O17" s="6" t="n">
        <v>26380.87196231475</v>
      </c>
      <c r="P17" s="6" t="n">
        <v>-6958.774598314752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-6.4324e-09</v>
      </c>
      <c r="I18" s="6" t="n">
        <v>0</v>
      </c>
      <c r="J18" s="6" t="n">
        <v>-6.4324e-09</v>
      </c>
      <c r="K18" s="6" t="n">
        <v>0</v>
      </c>
      <c r="L18" s="6" t="n">
        <v>5050529.234246395</v>
      </c>
      <c r="M18" s="7" t="n">
        <v>1</v>
      </c>
      <c r="N18" s="6" t="n">
        <v>13323.41401375031</v>
      </c>
      <c r="O18" s="6" t="n">
        <v>13323.41401375031</v>
      </c>
      <c r="P18" s="6" t="n">
        <v>-13323.41401375674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-1.5563e-09</v>
      </c>
      <c r="I19" s="6" t="n">
        <v>0</v>
      </c>
      <c r="J19" s="6" t="n">
        <v>-1.5563e-09</v>
      </c>
      <c r="K19" s="6" t="n">
        <v>0</v>
      </c>
      <c r="L19" s="6" t="n">
        <v>5011688.250043751</v>
      </c>
      <c r="M19" s="7" t="n">
        <v>1</v>
      </c>
      <c r="N19" s="6" t="n">
        <v>13220.95059076399</v>
      </c>
      <c r="O19" s="6" t="n">
        <v>13220.95059076399</v>
      </c>
      <c r="P19" s="6" t="n">
        <v>-13220.95059076554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9.32e-11</v>
      </c>
      <c r="I20" s="6" t="n">
        <v>0</v>
      </c>
      <c r="J20" s="6" t="n">
        <v>9.32e-11</v>
      </c>
      <c r="K20" s="6" t="n">
        <v>0</v>
      </c>
      <c r="L20" s="6" t="n">
        <v>4984668.082129179</v>
      </c>
      <c r="M20" s="7" t="n">
        <v>1</v>
      </c>
      <c r="N20" s="6" t="n">
        <v>13149.67075707729</v>
      </c>
      <c r="O20" s="6" t="n">
        <v>13149.67075707729</v>
      </c>
      <c r="P20" s="6" t="n">
        <v>-13149.67075707719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-1.3866e-09</v>
      </c>
      <c r="I21" s="6" t="n">
        <v>0</v>
      </c>
      <c r="J21" s="6" t="n">
        <v>-1.3866e-09</v>
      </c>
      <c r="K21" s="6" t="n">
        <v>0</v>
      </c>
      <c r="L21" s="6" t="n">
        <v>4915994.634819037</v>
      </c>
      <c r="M21" s="7" t="n">
        <v>1</v>
      </c>
      <c r="N21" s="6" t="n">
        <v>12968.50860003831</v>
      </c>
      <c r="O21" s="6" t="n">
        <v>12968.50860003831</v>
      </c>
      <c r="P21" s="6" t="n">
        <v>-12968.5086000397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2574.024470289222</v>
      </c>
      <c r="O23" s="6" t="n">
        <v>2574.024470289222</v>
      </c>
      <c r="P23" s="6" t="n">
        <v>-313.1527524846144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2567.892153520429</v>
      </c>
      <c r="O24" s="6" t="n">
        <v>2344.207741172148</v>
      </c>
      <c r="P24" s="6" t="n">
        <v>365.2444969926906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3.705e-09</v>
      </c>
      <c r="I25" s="6" t="n">
        <v>0</v>
      </c>
      <c r="J25" s="6" t="n">
        <v>3.705e-09</v>
      </c>
      <c r="K25" s="6" t="n">
        <v>0</v>
      </c>
      <c r="L25" s="6" t="n">
        <v>69404.94659889178</v>
      </c>
      <c r="M25" s="7" t="n">
        <v>1</v>
      </c>
      <c r="N25" s="6" t="n">
        <v>183.091869237986</v>
      </c>
      <c r="O25" s="6" t="n">
        <v>183.091869237986</v>
      </c>
      <c r="P25" s="6" t="n">
        <v>-183.091869234281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-2.14057e-08</v>
      </c>
      <c r="I26" s="6" t="n">
        <v>0</v>
      </c>
      <c r="J26" s="6" t="n">
        <v>-2.14057e-08</v>
      </c>
      <c r="K26" s="6" t="n">
        <v>0</v>
      </c>
      <c r="L26" s="6" t="n">
        <v>538.74695801446</v>
      </c>
      <c r="M26" s="7" t="n">
        <v>1</v>
      </c>
      <c r="N26" s="6" t="n">
        <v>1.421227051138186</v>
      </c>
      <c r="O26" s="6" t="n">
        <v>1.421227051138186</v>
      </c>
      <c r="P26" s="6" t="n">
        <v>-1.421227072543886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1.217080131948199</v>
      </c>
      <c r="I27" s="6" t="n">
        <v>0</v>
      </c>
      <c r="J27" s="6" t="n">
        <v>1.217080131948199</v>
      </c>
      <c r="K27" s="6" t="n">
        <v>0</v>
      </c>
      <c r="L27" s="6" t="n">
        <v>499.159737975814</v>
      </c>
      <c r="M27" s="7" t="n">
        <v>1</v>
      </c>
      <c r="N27" s="6" t="n">
        <v>1.316795040597213</v>
      </c>
      <c r="O27" s="6" t="n">
        <v>1.316795040597213</v>
      </c>
      <c r="P27" s="6" t="n">
        <v>-0.09971490864901389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0.8873926203238416</v>
      </c>
      <c r="O28" s="6" t="n">
        <v>0.8873926203238416</v>
      </c>
      <c r="P28" s="6" t="n">
        <v>0.3748563902094886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0.7489275694519881</v>
      </c>
      <c r="O29" s="6" t="n">
        <v>0.7489275694519881</v>
      </c>
      <c r="P29" s="6" t="n">
        <v>-0.7489275694519881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0.260128290762624</v>
      </c>
      <c r="O30" s="6" t="n">
        <v>0.260128290762624</v>
      </c>
      <c r="P30" s="6" t="n">
        <v>0.01391390617716923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0.05778982635471135</v>
      </c>
      <c r="O31" s="6" t="n">
        <v>0.05778982635471135</v>
      </c>
      <c r="P31" s="6" t="n">
        <v>-0.05777957030730669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0.003193548850495581</v>
      </c>
      <c r="O32" s="6" t="n">
        <v>0.003193548850495581</v>
      </c>
      <c r="P32" s="6" t="n">
        <v>-0.003183548850495581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0.0001513011908065228</v>
      </c>
      <c r="O33" s="6" t="n">
        <v>0.0001513011908065228</v>
      </c>
      <c r="P33" s="6" t="n">
        <v>-4.230119080652278e-05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1.664592729346094e-05</v>
      </c>
      <c r="O34" s="6" t="n">
        <v>1.664592729346094e-05</v>
      </c>
      <c r="P34" s="6" t="n">
        <v>-7.645927293460939e-06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1.514059166015887e-05</v>
      </c>
      <c r="O35" s="6" t="n">
        <v>1.514059166015887e-05</v>
      </c>
      <c r="P35" s="6" t="n">
        <v>-1.381409595172287e-05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4.452983402751516e-06</v>
      </c>
      <c r="O36" s="6" t="n">
        <v>4.452983402751516e-06</v>
      </c>
      <c r="P36" s="6" t="n">
        <v>-4.52983402751516e-07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3.271530589331472e-06</v>
      </c>
      <c r="O37" s="6" t="n">
        <v>3.271530589331472e-06</v>
      </c>
      <c r="P37" s="6" t="n">
        <v>-3.271530589331472e-06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1.367612055930483e-06</v>
      </c>
      <c r="O38" s="6" t="n">
        <v>1.367612055930483e-06</v>
      </c>
      <c r="P38" s="6" t="n">
        <v>-5.453135964354829e-07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1.975781241118573e-07</v>
      </c>
      <c r="O39" s="6" t="n">
        <v>1.975781241118573e-07</v>
      </c>
      <c r="P39" s="6" t="n">
        <v>-1.975781241118573e-07</v>
      </c>
      <c r="Q39" s="6" t="n">
        <v>0</v>
      </c>
      <c r="R39" s="6" t="n">
        <v>0</v>
      </c>
      <c r="S39" t="inlineStr"/>
    </row>
    <row r="40">
      <c r="A40" t="inlineStr">
        <is>
          <t>S29</t>
        </is>
      </c>
      <c r="B40" t="inlineStr">
        <is>
          <t>DAI raw (ALM idle)</t>
        </is>
      </c>
      <c r="C40" t="inlineStr">
        <is>
          <t>ethereum</t>
        </is>
      </c>
      <c r="D40" t="inlineStr">
        <is>
          <t>A</t>
        </is>
      </c>
      <c r="E40" s="6" t="n">
        <v>0</v>
      </c>
      <c r="F40" s="6" t="n">
        <v>0</v>
      </c>
      <c r="G40" s="6" t="n">
        <v>0</v>
      </c>
      <c r="H40" s="6" t="n">
        <v>3.912e-09</v>
      </c>
      <c r="I40" s="6" t="n">
        <v>0</v>
      </c>
      <c r="J40" s="6" t="n">
        <v>3.912e-09</v>
      </c>
      <c r="K40" s="6" t="n">
        <v>0</v>
      </c>
      <c r="L40" s="6" t="n">
        <v>1.400207142857143e-08</v>
      </c>
      <c r="M40" s="7" t="n">
        <v>1</v>
      </c>
      <c r="N40" s="6" t="n">
        <v>3.693779127699631e-11</v>
      </c>
      <c r="O40" s="6" t="n">
        <v>3.693779127699631e-11</v>
      </c>
      <c r="P40" s="6" t="n">
        <v>3.875062208723003e-09</v>
      </c>
      <c r="Q40" s="6" t="n">
        <v>0</v>
      </c>
      <c r="R40" s="6" t="n">
        <v>0</v>
      </c>
      <c r="S40" t="inlineStr"/>
    </row>
    <row r="41">
      <c r="A41" t="inlineStr">
        <is>
          <t>S9</t>
        </is>
      </c>
      <c r="B41" t="inlineStr">
        <is>
          <t>Aave Ethereum USDT (aToken)</t>
        </is>
      </c>
      <c r="C41" t="inlineStr">
        <is>
          <t>ethereum</t>
        </is>
      </c>
      <c r="D41" t="inlineStr">
        <is>
          <t>C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S11</t>
        </is>
      </c>
      <c r="B42" t="inlineStr">
        <is>
          <t>Spark Blue Chip USDT Vault (Morpho V2)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891779.999999939</v>
      </c>
      <c r="I47" s="6" t="n">
        <v>0</v>
      </c>
      <c r="J47" s="6" t="n">
        <v>891779.999999939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891779.999999939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4.37305e-08</v>
      </c>
      <c r="I48" s="6" t="n">
        <v>0</v>
      </c>
      <c r="J48" s="6" t="n">
        <v>4.37305e-08</v>
      </c>
      <c r="K48" s="6" t="n">
        <v>0</v>
      </c>
      <c r="L48" s="6" t="n">
        <v>21.29666244674675</v>
      </c>
      <c r="M48" s="7" t="n">
        <v>0</v>
      </c>
      <c r="N48" s="6" t="n">
        <v>0</v>
      </c>
      <c r="O48" s="6" t="n">
        <v>0</v>
      </c>
      <c r="P48" s="6" t="n">
        <v>4.37305e-08</v>
      </c>
      <c r="Q48" s="6" t="n">
        <v>21.29666244674675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2508076304.951767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1508076304.951767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0.04055229619917895</v>
      </c>
    </row>
    <row r="12">
      <c r="A12" s="8" t="inlineStr">
        <is>
          <t>Diff vs base rate (bps)</t>
        </is>
      </c>
      <c r="B12" s="11" t="n">
        <v>-25.6770569728142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8122887.021486939</v>
      </c>
    </row>
    <row r="16">
      <c r="A16" t="inlineStr">
        <is>
          <t xml:space="preserve">  − actual CoF (subsidy on first tranche)</t>
        </is>
      </c>
      <c r="B16" s="3" t="n">
        <v>7647762.426092711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1508076304.951767</v>
      </c>
      <c r="C21" s="3" t="n">
        <v>4884194.879047058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7486766.172836288</v>
      </c>
    </row>
    <row r="25">
      <c r="A25" t="inlineStr">
        <is>
          <t>+ Sky-Direct revenue (full venue yield on fixed/capped SDE)</t>
        </is>
      </c>
      <c r="B25" s="3" t="n">
        <v>3733.877754048192</v>
      </c>
    </row>
    <row r="26">
      <c r="A26" t="inlineStr">
        <is>
          <t>equals sky_revenue (total Sky take this month)</t>
        </is>
      </c>
      <c r="B26" s="3" t="n">
        <v>7490500.050590336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7486766.172836288</v>
      </c>
    </row>
    <row r="32">
      <c r="A32" t="inlineStr">
        <is>
          <t xml:space="preserve">    ↳ reduction from idle/SDE deductions</t>
        </is>
      </c>
      <c r="B32" s="3" t="n">
        <v>-2566219.823131723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273652.5918196291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276383.7951842653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277925.7412489351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277404.2502455133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274754.2147051196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272713.5836911454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272869.9691178096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272649.5551696609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269015.2705265231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281598.908458688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7647762.426092711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2026-07-03T07:18:48Z</dcterms:created>
  <dcterms:modified xmlns:dcterms="http://purl.org/dc/terms/" xmlns:xsi="http://www.w3.org/2001/XMLSchema-instance" xsi:type="dcterms:W3CDTF">2026-07-03T07:18:48Z</dcterms:modified>
</cp:coreProperties>
</file>