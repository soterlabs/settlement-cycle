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10291414.08057346</v>
      </c>
    </row>
    <row r="5">
      <c r="A5" t="inlineStr">
        <is>
          <t>+ agent_rate (subproxy USDS / sUSDS yield)</t>
        </is>
      </c>
      <c r="B5" s="3" t="n">
        <v>114973.4961946769</v>
      </c>
    </row>
    <row r="6">
      <c r="A6" t="inlineStr"/>
      <c r="B6" s="4" t="n">
        <v>10406387.57676814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7486766.172836288</v>
      </c>
    </row>
    <row r="10">
      <c r="A10" t="inlineStr">
        <is>
          <t>+ SDE revenue (Sky-Direct, full to Sky)</t>
        </is>
      </c>
      <c r="B10" s="3" t="n">
        <v>3733.877754048192</v>
      </c>
    </row>
    <row r="11">
      <c r="A11" t="inlineStr"/>
      <c r="B11" s="4" t="n">
        <v>7490500.050590336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7486766.172836288</v>
      </c>
    </row>
    <row r="15">
      <c r="A15" t="inlineStr">
        <is>
          <t>reduction from idle/SDE deductions</t>
        </is>
      </c>
      <c r="B15" s="3" t="n">
        <v>-2566219.823131723</v>
      </c>
    </row>
    <row r="16">
      <c r="A16" t="inlineStr"/>
      <c r="B16" s="4" t="n">
        <v>10052985.99596801</v>
      </c>
    </row>
    <row r="18">
      <c r="A18" s="5" t="inlineStr">
        <is>
          <t>sUSDS spread (Curve LP + PSM3) — deducted from sky_revenue</t>
        </is>
      </c>
      <c r="B18" s="3" t="n">
        <v>160996.253256423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10291414.08057346</v>
      </c>
    </row>
    <row r="22">
      <c r="A22" t="inlineStr">
        <is>
          <t>− CoF (deducted per-venue in display)</t>
        </is>
      </c>
      <c r="B22" s="3" t="n">
        <v>-7486766.172836288</v>
      </c>
    </row>
    <row r="23">
      <c r="A23" t="inlineStr"/>
      <c r="B23" s="4" t="n">
        <v>1689699.935517194</v>
      </c>
    </row>
    <row r="25">
      <c r="A25" t="inlineStr">
        <is>
          <t>Period</t>
        </is>
      </c>
      <c r="B25" t="inlineStr">
        <is>
          <t>2026-02-01 → 2026-02-28 (28 days)</t>
        </is>
      </c>
    </row>
    <row r="26">
      <c r="A26" t="inlineStr">
        <is>
          <t>Pin blocks</t>
        </is>
      </c>
      <c r="B26" t="inlineStr">
        <is>
          <t>arbitrum=437025050, avalanche_c=79250451, base=42766926, ethereum=24558867, optimism=148362211, unichain=41574840</t>
        </is>
      </c>
    </row>
    <row r="27">
      <c r="A27" t="inlineStr">
        <is>
          <t>Generated</t>
        </is>
      </c>
      <c r="B27" t="inlineStr">
        <is>
          <t>2026-06-25T11:42:11+00:00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1138527.930917541</v>
      </c>
      <c r="I2" s="6" t="n">
        <v>0</v>
      </c>
      <c r="J2" s="6" t="n">
        <v>1138527.930917541</v>
      </c>
      <c r="K2" s="6" t="n">
        <v>0</v>
      </c>
      <c r="L2" s="6" t="n">
        <v>593328991.80363</v>
      </c>
      <c r="M2" s="7" t="n">
        <v>1</v>
      </c>
      <c r="N2" s="6" t="n">
        <v>1565215.730374914</v>
      </c>
      <c r="O2" s="6" t="n">
        <v>1565215.730374914</v>
      </c>
      <c r="P2" s="6" t="n">
        <v>-426687.799457373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1384838.178869249</v>
      </c>
      <c r="O3" s="6" t="n">
        <v>1384838.178869249</v>
      </c>
      <c r="P3" s="6" t="n">
        <v>1440161.821130751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1203728.569731251</v>
      </c>
      <c r="O4" s="6" t="n">
        <v>1203728.569731251</v>
      </c>
      <c r="P4" s="6" t="n">
        <v>49370.00407601542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616396.3362089024</v>
      </c>
      <c r="O5" s="6" t="n">
        <v>616396.3362089024</v>
      </c>
      <c r="P5" s="6" t="n">
        <v>102019.1441781324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593355.3173754496</v>
      </c>
      <c r="O6" s="6" t="n">
        <v>593355.3173754496</v>
      </c>
      <c r="P6" s="6" t="n">
        <v>-180910.5203734495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591393.88095773</v>
      </c>
      <c r="I7" s="6" t="n">
        <v>0</v>
      </c>
      <c r="J7" s="6" t="n">
        <v>591393.88095773</v>
      </c>
      <c r="K7" s="6" t="n">
        <v>0</v>
      </c>
      <c r="L7" s="6" t="n">
        <v>196264917.5470026</v>
      </c>
      <c r="M7" s="7" t="n">
        <v>1</v>
      </c>
      <c r="N7" s="6" t="n">
        <v>517751.4338739319</v>
      </c>
      <c r="O7" s="6" t="n">
        <v>472651.0486923354</v>
      </c>
      <c r="P7" s="6" t="n">
        <v>73642.44708379809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451534.6230678736</v>
      </c>
      <c r="O8" s="6" t="n">
        <v>451534.6230678736</v>
      </c>
      <c r="P8" s="6" t="n">
        <v>130879.8131372471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263802.2665402248</v>
      </c>
      <c r="O9" s="6" t="n">
        <v>263802.2665402248</v>
      </c>
      <c r="P9" s="6" t="n">
        <v>-250975.6168513072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263785.7668215087</v>
      </c>
      <c r="O10" s="6" t="n">
        <v>263785.7668215087</v>
      </c>
      <c r="P10" s="6" t="n">
        <v>-202472.7797845087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304659.6934590152</v>
      </c>
      <c r="I11" s="6" t="n">
        <v>0</v>
      </c>
      <c r="J11" s="6" t="n">
        <v>304659.6934590152</v>
      </c>
      <c r="K11" s="6" t="n">
        <v>0</v>
      </c>
      <c r="L11" s="6" t="n">
        <v>101106912.9085265</v>
      </c>
      <c r="M11" s="7" t="n">
        <v>1</v>
      </c>
      <c r="N11" s="6" t="n">
        <v>266722.3963774357</v>
      </c>
      <c r="O11" s="6" t="n">
        <v>243488.6938202549</v>
      </c>
      <c r="P11" s="6" t="n">
        <v>37937.29708157951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226232.1250862077</v>
      </c>
      <c r="I12" s="6" t="n">
        <v>0</v>
      </c>
      <c r="J12" s="6" t="n">
        <v>226232.1250862077</v>
      </c>
      <c r="K12" s="6" t="n">
        <v>0</v>
      </c>
      <c r="L12" s="6" t="n">
        <v>75079284.39269957</v>
      </c>
      <c r="M12" s="7" t="n">
        <v>1</v>
      </c>
      <c r="N12" s="6" t="n">
        <v>198060.9047933366</v>
      </c>
      <c r="O12" s="6" t="n">
        <v>180808.179815331</v>
      </c>
      <c r="P12" s="6" t="n">
        <v>28171.22029287117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115569.539031945</v>
      </c>
      <c r="O13" s="6" t="n">
        <v>115569.539031945</v>
      </c>
      <c r="P13" s="6" t="n">
        <v>-11760.91824494497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88012.01357885409</v>
      </c>
      <c r="O14" s="6" t="n">
        <v>88012.01357885409</v>
      </c>
      <c r="P14" s="6" t="n">
        <v>13934.96786235993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34616.22938451851</v>
      </c>
      <c r="O16" s="6" t="n">
        <v>34616.22938451851</v>
      </c>
      <c r="P16" s="6" t="n">
        <v>23847.92927006701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10000965.036792</v>
      </c>
      <c r="F17" s="6" t="n">
        <v>10000143.505486</v>
      </c>
      <c r="G17" s="6" t="n">
        <v>-821.531306</v>
      </c>
      <c r="H17" s="6" t="n">
        <v>19422.097364</v>
      </c>
      <c r="I17" s="6" t="n">
        <v>0</v>
      </c>
      <c r="J17" s="6" t="n">
        <v>19422.097364</v>
      </c>
      <c r="K17" s="6" t="n">
        <v>0</v>
      </c>
      <c r="L17" s="6" t="n">
        <v>10000242.05005379</v>
      </c>
      <c r="M17" s="7" t="n">
        <v>1</v>
      </c>
      <c r="N17" s="6" t="n">
        <v>26380.87196231475</v>
      </c>
      <c r="O17" s="6" t="n">
        <v>26380.87196231475</v>
      </c>
      <c r="P17" s="6" t="n">
        <v>-6958.774598314753</v>
      </c>
      <c r="Q17" s="6" t="n">
        <v>0</v>
      </c>
      <c r="R17" s="6" t="n">
        <v>0</v>
      </c>
      <c r="S17" t="inlineStr"/>
    </row>
    <row r="18">
      <c r="A18" t="inlineStr">
        <is>
          <t>S45</t>
        </is>
      </c>
      <c r="B18" t="inlineStr">
        <is>
          <t>USDC raw (Arbitrum — ALM idle)</t>
        </is>
      </c>
      <c r="C18" t="inlineStr">
        <is>
          <t>arbitrum</t>
        </is>
      </c>
      <c r="D18" t="inlineStr">
        <is>
          <t>A</t>
        </is>
      </c>
      <c r="E18" s="6" t="n">
        <v>4994817.315553</v>
      </c>
      <c r="F18" s="6" t="n">
        <v>4983790.597531</v>
      </c>
      <c r="G18" s="6" t="n">
        <v>-11026.718022</v>
      </c>
      <c r="H18" s="6" t="n">
        <v>-5.6402e-09</v>
      </c>
      <c r="I18" s="6" t="n">
        <v>0</v>
      </c>
      <c r="J18" s="6" t="n">
        <v>-5.6402e-09</v>
      </c>
      <c r="K18" s="6" t="n">
        <v>0</v>
      </c>
      <c r="L18" s="6" t="n">
        <v>5050529.234246395</v>
      </c>
      <c r="M18" s="7" t="n">
        <v>1</v>
      </c>
      <c r="N18" s="6" t="n">
        <v>13323.41401375031</v>
      </c>
      <c r="O18" s="6" t="n">
        <v>13323.41401375031</v>
      </c>
      <c r="P18" s="6" t="n">
        <v>-13323.41401375595</v>
      </c>
      <c r="Q18" s="6" t="n">
        <v>0</v>
      </c>
      <c r="R18" s="6" t="n">
        <v>0</v>
      </c>
      <c r="S18" t="inlineStr"/>
    </row>
    <row r="19">
      <c r="A19" t="inlineStr">
        <is>
          <t>S39</t>
        </is>
      </c>
      <c r="B19" t="inlineStr">
        <is>
          <t>USDC raw (Base — ALM idle)</t>
        </is>
      </c>
      <c r="C19" t="inlineStr">
        <is>
          <t>base</t>
        </is>
      </c>
      <c r="D19" t="inlineStr">
        <is>
          <t>A</t>
        </is>
      </c>
      <c r="E19" s="6" t="n">
        <v>4979093.435761</v>
      </c>
      <c r="F19" s="6" t="n">
        <v>5000000</v>
      </c>
      <c r="G19" s="6" t="n">
        <v>20906.564239</v>
      </c>
      <c r="H19" s="6" t="n">
        <v>2.1207e-09</v>
      </c>
      <c r="I19" s="6" t="n">
        <v>0</v>
      </c>
      <c r="J19" s="6" t="n">
        <v>2.1207e-09</v>
      </c>
      <c r="K19" s="6" t="n">
        <v>0</v>
      </c>
      <c r="L19" s="6" t="n">
        <v>5011688.25004375</v>
      </c>
      <c r="M19" s="7" t="n">
        <v>1</v>
      </c>
      <c r="N19" s="6" t="n">
        <v>13220.95059076399</v>
      </c>
      <c r="O19" s="6" t="n">
        <v>13220.95059076399</v>
      </c>
      <c r="P19" s="6" t="n">
        <v>-13220.95059076186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4997665.827264</v>
      </c>
      <c r="G20" s="6" t="n">
        <v>-2334.172736</v>
      </c>
      <c r="H20" s="6" t="n">
        <v>1.013e-10</v>
      </c>
      <c r="I20" s="6" t="n">
        <v>0</v>
      </c>
      <c r="J20" s="6" t="n">
        <v>1.013e-10</v>
      </c>
      <c r="K20" s="6" t="n">
        <v>0</v>
      </c>
      <c r="L20" s="6" t="n">
        <v>4984668.082129179</v>
      </c>
      <c r="M20" s="7" t="n">
        <v>1</v>
      </c>
      <c r="N20" s="6" t="n">
        <v>13149.67075707729</v>
      </c>
      <c r="O20" s="6" t="n">
        <v>13149.67075707729</v>
      </c>
      <c r="P20" s="6" t="n">
        <v>-13149.67075707719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-2.4963e-09</v>
      </c>
      <c r="I21" s="6" t="n">
        <v>0</v>
      </c>
      <c r="J21" s="6" t="n">
        <v>-2.4963e-09</v>
      </c>
      <c r="K21" s="6" t="n">
        <v>0</v>
      </c>
      <c r="L21" s="6" t="n">
        <v>4915994.634819037</v>
      </c>
      <c r="M21" s="7" t="n">
        <v>1</v>
      </c>
      <c r="N21" s="6" t="n">
        <v>12968.50860003831</v>
      </c>
      <c r="O21" s="6" t="n">
        <v>12968.50860003831</v>
      </c>
      <c r="P21" s="6" t="n">
        <v>-12968.50860004081</v>
      </c>
      <c r="Q21" s="6" t="n">
        <v>0</v>
      </c>
      <c r="R21" s="6" t="n">
        <v>0</v>
      </c>
      <c r="S21" t="inlineStr"/>
    </row>
    <row r="22">
      <c r="A22" t="inlineStr">
        <is>
          <t>S24</t>
        </is>
      </c>
      <c r="B22" t="inlineStr">
        <is>
          <t>Spark.fi USDT Reserve Curve (sUSDS/USDT)</t>
        </is>
      </c>
      <c r="C22" t="inlineStr">
        <is>
          <t>ethereum</t>
        </is>
      </c>
      <c r="D22" t="inlineStr">
        <is>
          <t>F</t>
        </is>
      </c>
      <c r="E22" s="6" t="n">
        <v>49999911.74966041</v>
      </c>
      <c r="F22" s="6" t="n">
        <v>50000340.64647674</v>
      </c>
      <c r="G22" s="6" t="n">
        <v>428.8968163312471</v>
      </c>
      <c r="H22" s="6" t="n">
        <v>3733.877754048192</v>
      </c>
      <c r="I22" s="6" t="n">
        <v>30517.18693124221</v>
      </c>
      <c r="J22" s="6" t="n">
        <v>30517.18693124221</v>
      </c>
      <c r="K22" s="6" t="n">
        <v>3733.877754048192</v>
      </c>
      <c r="L22" s="6" t="n">
        <v>49998703.81509366</v>
      </c>
      <c r="M22" s="7" t="n">
        <v>0</v>
      </c>
      <c r="N22" s="6" t="n">
        <v>0</v>
      </c>
      <c r="O22" s="6" t="n">
        <v>3733.877754048192</v>
      </c>
      <c r="P22" s="6" t="n">
        <v>30517.18693124221</v>
      </c>
      <c r="Q22" s="6" t="n">
        <v>49998703.81509366</v>
      </c>
      <c r="R22" s="6" t="n">
        <v>0</v>
      </c>
      <c r="S22" t="inlineStr">
        <is>
          <t>SDE (fixed)</t>
        </is>
      </c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2574.024470289222</v>
      </c>
      <c r="O23" s="6" t="n">
        <v>2574.024470289222</v>
      </c>
      <c r="P23" s="6" t="n">
        <v>-313.1527524846144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2933.13665051312</v>
      </c>
      <c r="I24" s="6" t="n">
        <v>0</v>
      </c>
      <c r="J24" s="6" t="n">
        <v>2933.13665051312</v>
      </c>
      <c r="K24" s="6" t="n">
        <v>0</v>
      </c>
      <c r="L24" s="6" t="n">
        <v>973415.2506528809</v>
      </c>
      <c r="M24" s="7" t="n">
        <v>1</v>
      </c>
      <c r="N24" s="6" t="n">
        <v>2567.892153520429</v>
      </c>
      <c r="O24" s="6" t="n">
        <v>2344.207741172148</v>
      </c>
      <c r="P24" s="6" t="n">
        <v>365.2444969926905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-9e-11</v>
      </c>
      <c r="I25" s="6" t="n">
        <v>0</v>
      </c>
      <c r="J25" s="6" t="n">
        <v>-9e-11</v>
      </c>
      <c r="K25" s="6" t="n">
        <v>0</v>
      </c>
      <c r="L25" s="6" t="n">
        <v>69404.94659889408</v>
      </c>
      <c r="M25" s="7" t="n">
        <v>1</v>
      </c>
      <c r="N25" s="6" t="n">
        <v>183.0918692379921</v>
      </c>
      <c r="O25" s="6" t="n">
        <v>183.0918692379921</v>
      </c>
      <c r="P25" s="6" t="n">
        <v>-183.0918692380821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-2.18382e-08</v>
      </c>
      <c r="I26" s="6" t="n">
        <v>0</v>
      </c>
      <c r="J26" s="6" t="n">
        <v>-2.18382e-08</v>
      </c>
      <c r="K26" s="6" t="n">
        <v>0</v>
      </c>
      <c r="L26" s="6" t="n">
        <v>538.7469580157663</v>
      </c>
      <c r="M26" s="7" t="n">
        <v>1</v>
      </c>
      <c r="N26" s="6" t="n">
        <v>1.421227051141632</v>
      </c>
      <c r="O26" s="6" t="n">
        <v>1.421227051141632</v>
      </c>
      <c r="P26" s="6" t="n">
        <v>-1.421227072979832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1.217080133914307</v>
      </c>
      <c r="I27" s="6" t="n">
        <v>0</v>
      </c>
      <c r="J27" s="6" t="n">
        <v>1.217080133914307</v>
      </c>
      <c r="K27" s="6" t="n">
        <v>0</v>
      </c>
      <c r="L27" s="6" t="n">
        <v>499.1597379746905</v>
      </c>
      <c r="M27" s="7" t="n">
        <v>1</v>
      </c>
      <c r="N27" s="6" t="n">
        <v>1.316795040594249</v>
      </c>
      <c r="O27" s="6" t="n">
        <v>1.316795040594249</v>
      </c>
      <c r="P27" s="6" t="n">
        <v>-0.09971490667994179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0.8873926203238416</v>
      </c>
      <c r="O28" s="6" t="n">
        <v>0.8873926203238416</v>
      </c>
      <c r="P28" s="6" t="n">
        <v>0.3748563902094886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0.7489275694519881</v>
      </c>
      <c r="O29" s="6" t="n">
        <v>0.7489275694519881</v>
      </c>
      <c r="P29" s="6" t="n">
        <v>-0.7489275694519881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0.260128290762624</v>
      </c>
      <c r="O30" s="6" t="n">
        <v>0.260128290762624</v>
      </c>
      <c r="P30" s="6" t="n">
        <v>0.01391390617716923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0.05778982635471135</v>
      </c>
      <c r="O31" s="6" t="n">
        <v>0.05778982635471135</v>
      </c>
      <c r="P31" s="6" t="n">
        <v>-0.05777957030730669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0.003193548850495581</v>
      </c>
      <c r="O32" s="6" t="n">
        <v>0.003193548850495581</v>
      </c>
      <c r="P32" s="6" t="n">
        <v>-0.003183548850495582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0.0001513011908065228</v>
      </c>
      <c r="O33" s="6" t="n">
        <v>0.0001513011908065228</v>
      </c>
      <c r="P33" s="6" t="n">
        <v>-4.230119080652278e-05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1.664592729346094e-05</v>
      </c>
      <c r="O34" s="6" t="n">
        <v>1.664592729346094e-05</v>
      </c>
      <c r="P34" s="6" t="n">
        <v>-7.645927293460939e-06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1.514059166015887e-05</v>
      </c>
      <c r="O35" s="6" t="n">
        <v>1.514059166015887e-05</v>
      </c>
      <c r="P35" s="6" t="n">
        <v>-1.381409595172287e-05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4.452983402751516e-06</v>
      </c>
      <c r="O36" s="6" t="n">
        <v>4.452983402751516e-06</v>
      </c>
      <c r="P36" s="6" t="n">
        <v>-4.52983402751516e-07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3.271530589331472e-06</v>
      </c>
      <c r="O37" s="6" t="n">
        <v>3.271530589331472e-06</v>
      </c>
      <c r="P37" s="6" t="n">
        <v>-3.271530589331472e-06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1.367612055930483e-06</v>
      </c>
      <c r="O38" s="6" t="n">
        <v>1.367612055930483e-06</v>
      </c>
      <c r="P38" s="6" t="n">
        <v>-5.453135964354829e-07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1.975781241118573e-07</v>
      </c>
      <c r="O39" s="6" t="n">
        <v>1.975781241118573e-07</v>
      </c>
      <c r="P39" s="6" t="n">
        <v>-1.975781241118573e-07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891779.9999999979</v>
      </c>
      <c r="I46" s="6" t="n">
        <v>0</v>
      </c>
      <c r="J46" s="6" t="n">
        <v>891779.9999999979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891779.9999999979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4.3675e-08</v>
      </c>
      <c r="I47" s="6" t="n">
        <v>0</v>
      </c>
      <c r="J47" s="6" t="n">
        <v>4.3675e-08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4.3675e-08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-4.7472e-08</v>
      </c>
      <c r="I48" s="6" t="n">
        <v>0</v>
      </c>
      <c r="J48" s="6" t="n">
        <v>-4.7472e-08</v>
      </c>
      <c r="K48" s="6" t="n">
        <v>0</v>
      </c>
      <c r="L48" s="6" t="n">
        <v>21.29666254724045</v>
      </c>
      <c r="M48" s="7" t="n">
        <v>0</v>
      </c>
      <c r="N48" s="6" t="n">
        <v>0</v>
      </c>
      <c r="O48" s="6" t="n">
        <v>0</v>
      </c>
      <c r="P48" s="6" t="n">
        <v>-4.7472e-08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207131500.431691</v>
      </c>
      <c r="F58" s="6" t="n">
        <v>287780830.420175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120038508.359851</v>
      </c>
      <c r="F59" s="6" t="n">
        <v>387977397.421864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285387.136685</v>
      </c>
      <c r="F60" s="6" t="n">
        <v>94443.720094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95656876.179346</v>
      </c>
      <c r="F61" s="6" t="n">
        <v>152857139.195815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2508076304.951767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1508076304.951767</v>
      </c>
    </row>
    <row r="8">
      <c r="A8" t="inlineStr">
        <is>
          <t>Base rate (BR = SSR + 30bps), period avg</t>
        </is>
      </c>
      <c r="B8" s="7" t="n">
        <v>0.04312000189646037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0.03668000007901918</v>
      </c>
    </row>
    <row r="11">
      <c r="A11" s="8" t="inlineStr">
        <is>
          <t>Effective blended rate charged</t>
        </is>
      </c>
      <c r="B11" s="10" t="n">
        <v>0.04055229619917895</v>
      </c>
    </row>
    <row r="12">
      <c r="A12" s="8" t="inlineStr">
        <is>
          <t>Diff vs base rate (bps)</t>
        </is>
      </c>
      <c r="B12" s="11" t="n">
        <v>-25.6770569728142</v>
      </c>
    </row>
    <row r="13">
      <c r="A13" s="8" t="inlineStr">
        <is>
          <t>Subsidy benefit to prime (USD)</t>
        </is>
      </c>
      <c r="B13" s="12" t="n">
        <v>475124.5953942272</v>
      </c>
    </row>
    <row r="15">
      <c r="A15" t="inlineStr">
        <is>
          <t>CoF at full base rate (no subsidy)</t>
        </is>
      </c>
      <c r="B15" s="3" t="n">
        <v>8122887.021486939</v>
      </c>
    </row>
    <row r="16">
      <c r="A16" t="inlineStr">
        <is>
          <t xml:space="preserve">  − actual CoF (subsidy on first tranche)</t>
        </is>
      </c>
      <c r="B16" s="3" t="n">
        <v>7647762.426092711</v>
      </c>
    </row>
    <row r="17">
      <c r="A17" s="8" t="inlineStr">
        <is>
          <t xml:space="preserve">  = subsidy benefit</t>
        </is>
      </c>
      <c r="B17" s="12" t="n">
        <v>475124.5953942272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2763567.547045653</v>
      </c>
    </row>
    <row r="21">
      <c r="A21" t="inlineStr">
        <is>
          <t>Excess (&gt; cap)</t>
        </is>
      </c>
      <c r="B21" s="6" t="n">
        <v>1508076304.951767</v>
      </c>
      <c r="C21" s="3" t="n">
        <v>4884194.879047058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7486766.172836288</v>
      </c>
    </row>
    <row r="25">
      <c r="A25" t="inlineStr">
        <is>
          <t>+ Sky-Direct revenue (full venue yield on fixed/capped SDE)</t>
        </is>
      </c>
      <c r="B25" s="3" t="n">
        <v>3733.877754048192</v>
      </c>
    </row>
    <row r="26">
      <c r="A26" t="inlineStr">
        <is>
          <t>equals sky_revenue (total Sky take this month)</t>
        </is>
      </c>
      <c r="B26" s="3" t="n">
        <v>7490500.050590336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10052985.99596801</v>
      </c>
    </row>
    <row r="31">
      <c r="A31" t="inlineStr">
        <is>
          <t xml:space="preserve">    ↳ actual CoF on Net_Subs (BR × utilized)</t>
        </is>
      </c>
      <c r="B31" s="3" t="n">
        <v>7486766.172836288</v>
      </c>
    </row>
    <row r="32">
      <c r="A32" t="inlineStr">
        <is>
          <t xml:space="preserve">    ↳ reduction from idle/SDE deductions</t>
        </is>
      </c>
      <c r="B32" s="3" t="n">
        <v>-2566219.823131723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160996.253256423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1 (SoM) → 1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3733.877754048192</v>
      </c>
      <c r="J5" s="6" t="n">
        <v>3733.877754048192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0.04000000189078801</v>
      </c>
      <c r="J6" s="7" t="n">
        <v>0.04312000189646037</v>
      </c>
      <c r="K6" t="n">
        <v>1</v>
      </c>
      <c r="L6" s="7" t="n">
        <v>0.0364</v>
      </c>
      <c r="M6" s="7" t="n">
        <v>0.03668000007901918</v>
      </c>
      <c r="N6" s="3" t="n">
        <v>271745.3615508727</v>
      </c>
      <c r="O6" s="3" t="n">
        <v>365045.1446174522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0.04000000189078801</v>
      </c>
      <c r="J7" s="7" t="n">
        <v>0.04312000189646037</v>
      </c>
      <c r="K7" t="n">
        <v>1</v>
      </c>
      <c r="L7" s="7" t="n">
        <v>0.0364</v>
      </c>
      <c r="M7" s="7" t="n">
        <v>0.03668000007901918</v>
      </c>
      <c r="N7" s="3" t="n">
        <v>267134.214574907</v>
      </c>
      <c r="O7" s="3" t="n">
        <v>358933.3596232593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0.04000000189078801</v>
      </c>
      <c r="J8" s="7" t="n">
        <v>0.04312000189646037</v>
      </c>
      <c r="K8" t="n">
        <v>1</v>
      </c>
      <c r="L8" s="7" t="n">
        <v>0.0364</v>
      </c>
      <c r="M8" s="7" t="n">
        <v>0.03668000007901918</v>
      </c>
      <c r="N8" s="3" t="n">
        <v>270718.1201947443</v>
      </c>
      <c r="O8" s="3" t="n">
        <v>362630.5695722945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0.04000000189078801</v>
      </c>
      <c r="J9" s="7" t="n">
        <v>0.04312000189646037</v>
      </c>
      <c r="K9" t="n">
        <v>1</v>
      </c>
      <c r="L9" s="7" t="n">
        <v>0.0364</v>
      </c>
      <c r="M9" s="7" t="n">
        <v>0.03668000007901918</v>
      </c>
      <c r="N9" s="3" t="n">
        <v>271294.5333121629</v>
      </c>
      <c r="O9" s="3" t="n">
        <v>362837.1153855179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0.04000000189078801</v>
      </c>
      <c r="J10" s="7" t="n">
        <v>0.04312000189646037</v>
      </c>
      <c r="K10" t="n">
        <v>1</v>
      </c>
      <c r="L10" s="7" t="n">
        <v>0.0364</v>
      </c>
      <c r="M10" s="7" t="n">
        <v>0.03668000007901918</v>
      </c>
      <c r="N10" s="3" t="n">
        <v>262626.3951698382</v>
      </c>
      <c r="O10" s="3" t="n">
        <v>352285.4117331658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0.04000000189078801</v>
      </c>
      <c r="J11" s="7" t="n">
        <v>0.04312000189646037</v>
      </c>
      <c r="K11" t="n">
        <v>1</v>
      </c>
      <c r="L11" s="7" t="n">
        <v>0.0364</v>
      </c>
      <c r="M11" s="7" t="n">
        <v>0.03668000007901918</v>
      </c>
      <c r="N11" s="3" t="n">
        <v>259059.7101727402</v>
      </c>
      <c r="O11" s="3" t="n">
        <v>343865.6754166156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0.04000000189078801</v>
      </c>
      <c r="J12" s="7" t="n">
        <v>0.04312000189646037</v>
      </c>
      <c r="K12" t="n">
        <v>1</v>
      </c>
      <c r="L12" s="7" t="n">
        <v>0.0364</v>
      </c>
      <c r="M12" s="7" t="n">
        <v>0.03668000007901918</v>
      </c>
      <c r="N12" s="3" t="n">
        <v>258910.4751153023</v>
      </c>
      <c r="O12" s="3" t="n">
        <v>342602.4304809652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0.04000000189078801</v>
      </c>
      <c r="J13" s="7" t="n">
        <v>0.04312000189646037</v>
      </c>
      <c r="K13" t="n">
        <v>1</v>
      </c>
      <c r="L13" s="7" t="n">
        <v>0.0364</v>
      </c>
      <c r="M13" s="7" t="n">
        <v>0.03668000007901918</v>
      </c>
      <c r="N13" s="3" t="n">
        <v>260275.2254159482</v>
      </c>
      <c r="O13" s="3" t="n">
        <v>342600.8001298214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0.04000000189078801</v>
      </c>
      <c r="J14" s="7" t="n">
        <v>0.04312000189646037</v>
      </c>
      <c r="K14" t="n">
        <v>1</v>
      </c>
      <c r="L14" s="7" t="n">
        <v>0.0364</v>
      </c>
      <c r="M14" s="7" t="n">
        <v>0.03668000007901918</v>
      </c>
      <c r="N14" s="3" t="n">
        <v>273315.1784996446</v>
      </c>
      <c r="O14" s="3" t="n">
        <v>356947.1621907688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0.04000000189078801</v>
      </c>
      <c r="J15" s="7" t="n">
        <v>0.04312000189646037</v>
      </c>
      <c r="K15" t="n">
        <v>1</v>
      </c>
      <c r="L15" s="7" t="n">
        <v>0.0364</v>
      </c>
      <c r="M15" s="7" t="n">
        <v>0.03668000007901918</v>
      </c>
      <c r="N15" s="3" t="n">
        <v>275296.5746392221</v>
      </c>
      <c r="O15" s="3" t="n">
        <v>358994.0779206661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0.04000000189078801</v>
      </c>
      <c r="J16" s="7" t="n">
        <v>0.04312000189646037</v>
      </c>
      <c r="K16" t="n">
        <v>1</v>
      </c>
      <c r="L16" s="7" t="n">
        <v>0.0364</v>
      </c>
      <c r="M16" s="7" t="n">
        <v>0.03668000007901918</v>
      </c>
      <c r="N16" s="3" t="n">
        <v>278135.3942824989</v>
      </c>
      <c r="O16" s="3" t="n">
        <v>363349.5738365015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0.04000000189078801</v>
      </c>
      <c r="J17" s="7" t="n">
        <v>0.04312000189646037</v>
      </c>
      <c r="K17" t="n">
        <v>1</v>
      </c>
      <c r="L17" s="7" t="n">
        <v>0.0364</v>
      </c>
      <c r="M17" s="7" t="n">
        <v>0.03668000007901918</v>
      </c>
      <c r="N17" s="3" t="n">
        <v>278759.5527566056</v>
      </c>
      <c r="O17" s="3" t="n">
        <v>362299.4055865003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0.04000000189078801</v>
      </c>
      <c r="J18" s="7" t="n">
        <v>0.04312000189646037</v>
      </c>
      <c r="K18" t="n">
        <v>1</v>
      </c>
      <c r="L18" s="7" t="n">
        <v>0.0364</v>
      </c>
      <c r="M18" s="7" t="n">
        <v>0.03668000007901918</v>
      </c>
      <c r="N18" s="3" t="n">
        <v>281019.9091966764</v>
      </c>
      <c r="O18" s="3" t="n">
        <v>363695.0519874501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0.04000000189078801</v>
      </c>
      <c r="J19" s="7" t="n">
        <v>0.04312000189646037</v>
      </c>
      <c r="K19" t="n">
        <v>1</v>
      </c>
      <c r="L19" s="7" t="n">
        <v>0.0364</v>
      </c>
      <c r="M19" s="7" t="n">
        <v>0.03668000007901918</v>
      </c>
      <c r="N19" s="3" t="n">
        <v>276469.5665485744</v>
      </c>
      <c r="O19" s="3" t="n">
        <v>360040.4861536592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0.04000000189078801</v>
      </c>
      <c r="J20" s="7" t="n">
        <v>0.04312000189646037</v>
      </c>
      <c r="K20" t="n">
        <v>1</v>
      </c>
      <c r="L20" s="7" t="n">
        <v>0.0364</v>
      </c>
      <c r="M20" s="7" t="n">
        <v>0.03668000007901918</v>
      </c>
      <c r="N20" s="3" t="n">
        <v>273156.8445600395</v>
      </c>
      <c r="O20" s="3" t="n">
        <v>356395.9764575384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0.04000000189078801</v>
      </c>
      <c r="J21" s="7" t="n">
        <v>0.04312000189646037</v>
      </c>
      <c r="K21" t="n">
        <v>1</v>
      </c>
      <c r="L21" s="7" t="n">
        <v>0.0364</v>
      </c>
      <c r="M21" s="7" t="n">
        <v>0.03668000007901918</v>
      </c>
      <c r="N21" s="3" t="n">
        <v>282384.3186801649</v>
      </c>
      <c r="O21" s="3" t="n">
        <v>364976.4952377997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0.04000000189078801</v>
      </c>
      <c r="J22" s="7" t="n">
        <v>0.04312000189646037</v>
      </c>
      <c r="K22" t="n">
        <v>1</v>
      </c>
      <c r="L22" s="7" t="n">
        <v>0.0364</v>
      </c>
      <c r="M22" s="7" t="n">
        <v>0.03668000007901918</v>
      </c>
      <c r="N22" s="3" t="n">
        <v>280950.2860943094</v>
      </c>
      <c r="O22" s="3" t="n">
        <v>365220.1550558825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0.04000000189078801</v>
      </c>
      <c r="J23" s="7" t="n">
        <v>0.04312000189646037</v>
      </c>
      <c r="K23" t="n">
        <v>1</v>
      </c>
      <c r="L23" s="7" t="n">
        <v>0.0364</v>
      </c>
      <c r="M23" s="7" t="n">
        <v>0.03668000007901918</v>
      </c>
      <c r="N23" s="3" t="n">
        <v>277542.8851611703</v>
      </c>
      <c r="O23" s="3" t="n">
        <v>361833.5569561925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88579423.51548044</v>
      </c>
      <c r="F24" s="6" t="n">
        <v>64115392.71372245</v>
      </c>
      <c r="G24" s="6" t="n">
        <v>171708475.8308767</v>
      </c>
      <c r="H24" s="6" t="n">
        <v>2512556553.218271</v>
      </c>
      <c r="I24" s="7" t="n">
        <v>0.04000000189078801</v>
      </c>
      <c r="J24" s="7" t="n">
        <v>0.04312000189646037</v>
      </c>
      <c r="K24" t="n">
        <v>1</v>
      </c>
      <c r="L24" s="7" t="n">
        <v>0.0364</v>
      </c>
      <c r="M24" s="7" t="n">
        <v>0.03668000007901918</v>
      </c>
      <c r="N24" s="3" t="n">
        <v>273652.5918196291</v>
      </c>
      <c r="O24" s="3" t="n">
        <v>362162.940994632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86620267.0626184</v>
      </c>
      <c r="F25" s="6" t="n">
        <v>65580982.41636725</v>
      </c>
      <c r="G25" s="6" t="n">
        <v>172162721.2920108</v>
      </c>
      <c r="H25" s="6" t="n">
        <v>2536169076.683437</v>
      </c>
      <c r="I25" s="7" t="n">
        <v>0.04000000189078801</v>
      </c>
      <c r="J25" s="7" t="n">
        <v>0.04312000189646037</v>
      </c>
      <c r="K25" t="n">
        <v>1</v>
      </c>
      <c r="L25" s="7" t="n">
        <v>0.0364</v>
      </c>
      <c r="M25" s="7" t="n">
        <v>0.03668000007901918</v>
      </c>
      <c r="N25" s="3" t="n">
        <v>276383.7951842653</v>
      </c>
      <c r="O25" s="3" t="n">
        <v>364936.3557712165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87350484.05449657</v>
      </c>
      <c r="F26" s="6" t="n">
        <v>54036624.62865652</v>
      </c>
      <c r="G26" s="6" t="n">
        <v>172114598.1401009</v>
      </c>
      <c r="H26" s="6" t="n">
        <v>2549499917.625371</v>
      </c>
      <c r="I26" s="7" t="n">
        <v>0.04000000189078801</v>
      </c>
      <c r="J26" s="7" t="n">
        <v>0.04312000189646037</v>
      </c>
      <c r="K26" t="n">
        <v>1</v>
      </c>
      <c r="L26" s="7" t="n">
        <v>0.0364</v>
      </c>
      <c r="M26" s="7" t="n">
        <v>0.03668000007901918</v>
      </c>
      <c r="N26" s="3" t="n">
        <v>277925.7412489351</v>
      </c>
      <c r="O26" s="3" t="n">
        <v>365215.6623250113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87831880.21825115</v>
      </c>
      <c r="F27" s="6" t="n">
        <v>52509971.5607803</v>
      </c>
      <c r="G27" s="6" t="n">
        <v>172130873.8331746</v>
      </c>
      <c r="H27" s="6" t="n">
        <v>2544991385.337146</v>
      </c>
      <c r="I27" s="7" t="n">
        <v>0.04000000189078801</v>
      </c>
      <c r="J27" s="7" t="n">
        <v>0.04312000189646037</v>
      </c>
      <c r="K27" t="n">
        <v>1</v>
      </c>
      <c r="L27" s="7" t="n">
        <v>0.0364</v>
      </c>
      <c r="M27" s="7" t="n">
        <v>0.03668000007901918</v>
      </c>
      <c r="N27" s="3" t="n">
        <v>277404.2502455133</v>
      </c>
      <c r="O27" s="3" t="n">
        <v>364524.1393745443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85638134.64147896</v>
      </c>
      <c r="F28" s="6" t="n">
        <v>67269600.88137993</v>
      </c>
      <c r="G28" s="6" t="n">
        <v>170384756.6215345</v>
      </c>
      <c r="H28" s="6" t="n">
        <v>2522080595.466539</v>
      </c>
      <c r="I28" s="7" t="n">
        <v>0.04000000189078801</v>
      </c>
      <c r="J28" s="7" t="n">
        <v>0.04312000189646037</v>
      </c>
      <c r="K28" t="n">
        <v>1</v>
      </c>
      <c r="L28" s="7" t="n">
        <v>0.0364</v>
      </c>
      <c r="M28" s="7" t="n">
        <v>0.03668000007901918</v>
      </c>
      <c r="N28" s="3" t="n">
        <v>274754.2147051196</v>
      </c>
      <c r="O28" s="3" t="n">
        <v>363114.1247107522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72235071.09160909</v>
      </c>
      <c r="F29" s="6" t="n">
        <v>66054992.5679894</v>
      </c>
      <c r="G29" s="6" t="n">
        <v>164698591.325855</v>
      </c>
      <c r="H29" s="6" t="n">
        <v>2504438391.182117</v>
      </c>
      <c r="I29" s="7" t="n">
        <v>0.04000000189078801</v>
      </c>
      <c r="J29" s="7" t="n">
        <v>0.04312000189646037</v>
      </c>
      <c r="K29" t="n">
        <v>1</v>
      </c>
      <c r="L29" s="7" t="n">
        <v>0.0364</v>
      </c>
      <c r="M29" s="7" t="n">
        <v>0.03668000007901918</v>
      </c>
      <c r="N29" s="3" t="n">
        <v>272713.5836911454</v>
      </c>
      <c r="O29" s="3" t="n">
        <v>358725.7219450316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53793836.9446341</v>
      </c>
      <c r="F30" s="6" t="n">
        <v>67036073.21227839</v>
      </c>
      <c r="G30" s="6" t="n">
        <v>164389729.7446583</v>
      </c>
      <c r="H30" s="6" t="n">
        <v>2505790415.935942</v>
      </c>
      <c r="I30" s="7" t="n">
        <v>0.04000000189078801</v>
      </c>
      <c r="J30" s="7" t="n">
        <v>0.04312000189646037</v>
      </c>
      <c r="K30" t="n">
        <v>1</v>
      </c>
      <c r="L30" s="7" t="n">
        <v>0.0364</v>
      </c>
      <c r="M30" s="7" t="n">
        <v>0.03668000007901918</v>
      </c>
      <c r="N30" s="3" t="n">
        <v>272869.9691178096</v>
      </c>
      <c r="O30" s="3" t="n">
        <v>356847.4829846853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59097324.34855221</v>
      </c>
      <c r="F31" s="6" t="n">
        <v>58569838.14097168</v>
      </c>
      <c r="G31" s="6" t="n">
        <v>164299122.520608</v>
      </c>
      <c r="H31" s="6" t="n">
        <v>2503884834.831986</v>
      </c>
      <c r="I31" s="7" t="n">
        <v>0.04000000189078801</v>
      </c>
      <c r="J31" s="7" t="n">
        <v>0.04312000189646037</v>
      </c>
      <c r="K31" t="n">
        <v>1</v>
      </c>
      <c r="L31" s="7" t="n">
        <v>0.0364</v>
      </c>
      <c r="M31" s="7" t="n">
        <v>0.03668000007901918</v>
      </c>
      <c r="N31" s="3" t="n">
        <v>272649.5551696609</v>
      </c>
      <c r="O31" s="3" t="n">
        <v>356243.3116253272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78466307.67748198</v>
      </c>
      <c r="F32" s="6" t="n">
        <v>51725728.12275265</v>
      </c>
      <c r="G32" s="6" t="n">
        <v>161025661.214919</v>
      </c>
      <c r="H32" s="6" t="n">
        <v>2472464753.659592</v>
      </c>
      <c r="I32" s="7" t="n">
        <v>0.04000000189078801</v>
      </c>
      <c r="J32" s="7" t="n">
        <v>0.04312000189646037</v>
      </c>
      <c r="K32" t="n">
        <v>1</v>
      </c>
      <c r="L32" s="7" t="n">
        <v>0.0364</v>
      </c>
      <c r="M32" s="7" t="n">
        <v>0.03668000007901918</v>
      </c>
      <c r="N32" s="3" t="n">
        <v>269015.2705265231</v>
      </c>
      <c r="O32" s="3" t="n">
        <v>353646.0304370871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57961427.91663297</v>
      </c>
      <c r="F33" s="6" t="n">
        <v>44100083.55514738</v>
      </c>
      <c r="G33" s="6" t="n">
        <v>161097957.4296974</v>
      </c>
      <c r="H33" s="6" t="n">
        <v>2581256156.67179</v>
      </c>
      <c r="I33" s="7" t="n">
        <v>0.04000000189078801</v>
      </c>
      <c r="J33" s="7" t="n">
        <v>0.04312000189646037</v>
      </c>
      <c r="K33" t="n">
        <v>1</v>
      </c>
      <c r="L33" s="7" t="n">
        <v>0.0364</v>
      </c>
      <c r="M33" s="7" t="n">
        <v>0.03668000007901918</v>
      </c>
      <c r="N33" s="3" t="n">
        <v>281598.908458688</v>
      </c>
      <c r="O33" s="3" t="n">
        <v>363017.777457673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2" t="n">
        <v>7647762.426092711</v>
      </c>
      <c r="O35" s="12" t="n">
        <v>10052985.99596801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2026-06-25T11:42:11Z</dcterms:created>
  <dcterms:modified xmlns:dcterms="http://purl.org/dc/terms/" xmlns:xsi="http://www.w3.org/2001/XMLSchema-instance" xsi:type="dcterms:W3CDTF">2026-06-25T11:42:11Z</dcterms:modified>
</cp:coreProperties>
</file>