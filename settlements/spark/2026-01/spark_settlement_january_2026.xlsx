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2975150.085934307</v>
      </c>
    </row>
    <row r="5">
      <c r="A5" t="inlineStr">
        <is>
          <t>+ agent_rate (subproxy USDS / sUSDS yield)</t>
        </is>
      </c>
      <c r="B5" s="3" t="n">
        <v>106392.5451233621</v>
      </c>
    </row>
    <row r="6">
      <c r="A6" t="inlineStr"/>
      <c r="B6" s="4" t="n">
        <v>3081542.631057669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8283645.140542674</v>
      </c>
    </row>
    <row r="10">
      <c r="A10" t="inlineStr">
        <is>
          <t>+ SDE revenue (Sky-Direct, full to Sky)</t>
        </is>
      </c>
      <c r="B10" s="3" t="n">
        <v>27497.03310050249</v>
      </c>
    </row>
    <row r="11">
      <c r="A11" t="inlineStr"/>
      <c r="B11" s="4" t="n">
        <v>8311142.173643176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8283645.140542674</v>
      </c>
    </row>
    <row r="15">
      <c r="A15" t="inlineStr">
        <is>
          <t>reduction from idle/SDE deductions</t>
        </is>
      </c>
      <c r="B15" s="3" t="n">
        <v>-2942380.1792808</v>
      </c>
    </row>
    <row r="16">
      <c r="A16" t="inlineStr"/>
      <c r="B16" s="4" t="n">
        <v>11226025.31982347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2975150.085934307</v>
      </c>
    </row>
    <row r="22">
      <c r="A22" t="inlineStr">
        <is>
          <t>− CoF (deducted per-venue in display)</t>
        </is>
      </c>
      <c r="B22" s="3" t="n">
        <v>-8283645.140542674</v>
      </c>
    </row>
    <row r="23">
      <c r="A23" t="inlineStr"/>
      <c r="B23" s="4" t="n">
        <v>-5429826.797119002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2026-06-09T15:26:10+00:00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515643040.0315013</v>
      </c>
      <c r="M2" s="7" t="n">
        <v>1</v>
      </c>
      <c r="N2" s="6" t="n">
        <v>1768020.22891697</v>
      </c>
      <c r="O2" s="6" t="n">
        <v>1768020.22891697</v>
      </c>
      <c r="P2" s="6" t="n">
        <v>-1768020.22891697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1641785.018499449</v>
      </c>
      <c r="O3" s="6" t="n">
        <v>1641785.018499449</v>
      </c>
      <c r="P3" s="6" t="n">
        <v>-1641785.018499456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1150549.074000488</v>
      </c>
      <c r="O4" s="6" t="n">
        <v>1150549.074000488</v>
      </c>
      <c r="P4" s="6" t="n">
        <v>-183983.4759674878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855116.9071305759</v>
      </c>
      <c r="O5" s="6" t="n">
        <v>855116.9071305759</v>
      </c>
      <c r="P5" s="6" t="n">
        <v>42275.17240755034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650759.8067091631</v>
      </c>
      <c r="O6" s="6" t="n">
        <v>650759.8067091631</v>
      </c>
      <c r="P6" s="6" t="n">
        <v>200145.6545322418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490132.5376403436</v>
      </c>
      <c r="O7" s="6" t="n">
        <v>490132.5376403436</v>
      </c>
      <c r="P7" s="6" t="n">
        <v>-251442.7093043436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342877.3807924854</v>
      </c>
      <c r="O8" s="6" t="n">
        <v>342877.3807924854</v>
      </c>
      <c r="P8" s="6" t="n">
        <v>-335445.7222092723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323874.9149855744</v>
      </c>
      <c r="O9" s="6" t="n">
        <v>323874.9149855744</v>
      </c>
      <c r="P9" s="6" t="n">
        <v>134403.5955681836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82302337.13128559</v>
      </c>
      <c r="M10" s="7" t="n">
        <v>1</v>
      </c>
      <c r="N10" s="6" t="n">
        <v>282195.5997435118</v>
      </c>
      <c r="O10" s="6" t="n">
        <v>261256.7218003855</v>
      </c>
      <c r="P10" s="6" t="n">
        <v>-282195.5997435118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74829605.8002511</v>
      </c>
      <c r="M11" s="7" t="n">
        <v>1</v>
      </c>
      <c r="N11" s="6" t="n">
        <v>256573.3395114655</v>
      </c>
      <c r="O11" s="6" t="n">
        <v>237535.6300490435</v>
      </c>
      <c r="P11" s="6" t="n">
        <v>-256573.3395114655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166885.2596023553</v>
      </c>
      <c r="O12" s="6" t="n">
        <v>166885.2596023553</v>
      </c>
      <c r="P12" s="6" t="n">
        <v>51236.20518991584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148082.4794834144</v>
      </c>
      <c r="O13" s="6" t="n">
        <v>148082.4794834144</v>
      </c>
      <c r="P13" s="6" t="n">
        <v>-2590.047350414397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42907533.96338371</v>
      </c>
      <c r="M14" s="7" t="n">
        <v>1</v>
      </c>
      <c r="N14" s="6" t="n">
        <v>147119.9689140958</v>
      </c>
      <c r="O14" s="6" t="n">
        <v>136203.6857584099</v>
      </c>
      <c r="P14" s="6" t="n">
        <v>-147119.9689140958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51513.91165713739</v>
      </c>
      <c r="O16" s="6" t="n">
        <v>51513.91165713739</v>
      </c>
      <c r="P16" s="6" t="n">
        <v>31100.73024886601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34285.74304769238</v>
      </c>
      <c r="O17" s="6" t="n">
        <v>34285.74304769238</v>
      </c>
      <c r="P17" s="6" t="n">
        <v>-2688.792169692378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50000864.48440416</v>
      </c>
      <c r="F18" s="6" t="n">
        <v>49999911.74966041</v>
      </c>
      <c r="G18" s="6" t="n">
        <v>-952.7347437553233</v>
      </c>
      <c r="H18" s="6" t="n">
        <v>27497.03310050249</v>
      </c>
      <c r="I18" s="6" t="n">
        <v>0</v>
      </c>
      <c r="J18" s="6" t="n">
        <v>0</v>
      </c>
      <c r="K18" s="6" t="n">
        <v>27497.03310050249</v>
      </c>
      <c r="L18" s="6" t="n">
        <v>49999946.74995758</v>
      </c>
      <c r="M18" s="7" t="n">
        <v>0</v>
      </c>
      <c r="N18" s="6" t="n">
        <v>0</v>
      </c>
      <c r="O18" s="6" t="n">
        <v>27497.03310050249</v>
      </c>
      <c r="P18" s="6" t="n">
        <v>0</v>
      </c>
      <c r="Q18" s="6" t="n">
        <v>49999946.74995758</v>
      </c>
      <c r="R18" s="6" t="n">
        <v>0</v>
      </c>
      <c r="S18" t="inlineStr">
        <is>
          <t>SDE (fixed)</t>
        </is>
      </c>
    </row>
    <row r="19">
      <c r="A19" t="inlineStr">
        <is>
          <t>S10</t>
        </is>
      </c>
      <c r="B19" t="inlineStr">
        <is>
          <t>Spark Blue Chip USDC Vault (Morpho)</t>
        </is>
      </c>
      <c r="C19" t="inlineStr">
        <is>
          <t>ethereum</t>
        </is>
      </c>
      <c r="D19" t="inlineStr">
        <is>
          <t>B</t>
        </is>
      </c>
      <c r="E19" s="6" t="n">
        <v>10124757.36060807</v>
      </c>
      <c r="F19" s="6" t="n">
        <v>976334.4376037563</v>
      </c>
      <c r="G19" s="6" t="n">
        <v>-9148422.923004312</v>
      </c>
      <c r="H19" s="6" t="n">
        <v>22913.63278708834</v>
      </c>
      <c r="I19" s="6" t="n">
        <v>0</v>
      </c>
      <c r="J19" s="6" t="n">
        <v>22913.63278708834</v>
      </c>
      <c r="K19" s="6" t="n">
        <v>0</v>
      </c>
      <c r="L19" s="6" t="n">
        <v>6870535.567559426</v>
      </c>
      <c r="M19" s="7" t="n">
        <v>1</v>
      </c>
      <c r="N19" s="6" t="n">
        <v>23557.47081585065</v>
      </c>
      <c r="O19" s="6" t="n">
        <v>23557.47081585065</v>
      </c>
      <c r="P19" s="6" t="n">
        <v>-643.8380287623078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8e-12</v>
      </c>
      <c r="I20" s="6" t="n">
        <v>0</v>
      </c>
      <c r="J20" s="6" t="n">
        <v>8e-12</v>
      </c>
      <c r="K20" s="6" t="n">
        <v>0</v>
      </c>
      <c r="L20" s="6" t="n">
        <v>5000180.50613029</v>
      </c>
      <c r="M20" s="7" t="n">
        <v>1</v>
      </c>
      <c r="N20" s="6" t="n">
        <v>17144.45769021642</v>
      </c>
      <c r="O20" s="6" t="n">
        <v>17144.45769021642</v>
      </c>
      <c r="P20" s="6" t="n">
        <v>-17144.45769021642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4.83813e-09</v>
      </c>
      <c r="I21" s="6" t="n">
        <v>0</v>
      </c>
      <c r="J21" s="6" t="n">
        <v>4.83813e-09</v>
      </c>
      <c r="K21" s="6" t="n">
        <v>0</v>
      </c>
      <c r="L21" s="6" t="n">
        <v>4993920.215864256</v>
      </c>
      <c r="M21" s="7" t="n">
        <v>1</v>
      </c>
      <c r="N21" s="6" t="n">
        <v>17122.99260881328</v>
      </c>
      <c r="O21" s="6" t="n">
        <v>17122.99260881328</v>
      </c>
      <c r="P21" s="6" t="n">
        <v>-17122.99260880844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1.658e-09</v>
      </c>
      <c r="I22" s="6" t="n">
        <v>0</v>
      </c>
      <c r="J22" s="6" t="n">
        <v>1.658e-09</v>
      </c>
      <c r="K22" s="6" t="n">
        <v>0</v>
      </c>
      <c r="L22" s="6" t="n">
        <v>4980707.317678578</v>
      </c>
      <c r="M22" s="7" t="n">
        <v>1</v>
      </c>
      <c r="N22" s="6" t="n">
        <v>17077.68864955986</v>
      </c>
      <c r="O22" s="6" t="n">
        <v>17077.68864955986</v>
      </c>
      <c r="P22" s="6" t="n">
        <v>-17077.6886495582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4732058.263226</v>
      </c>
      <c r="F23" s="6" t="n">
        <v>4979093.435761</v>
      </c>
      <c r="G23" s="6" t="n">
        <v>247035.172535</v>
      </c>
      <c r="H23" s="6" t="n">
        <v>-9.9179e-08</v>
      </c>
      <c r="I23" s="6" t="n">
        <v>0</v>
      </c>
      <c r="J23" s="6" t="n">
        <v>-9.9179e-08</v>
      </c>
      <c r="K23" s="6" t="n">
        <v>0</v>
      </c>
      <c r="L23" s="6" t="n">
        <v>4948516.885305397</v>
      </c>
      <c r="M23" s="7" t="n">
        <v>1</v>
      </c>
      <c r="N23" s="6" t="n">
        <v>16967.31513300877</v>
      </c>
      <c r="O23" s="6" t="n">
        <v>16967.31513300877</v>
      </c>
      <c r="P23" s="6" t="n">
        <v>-16967.31513310795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970178.1267029551</v>
      </c>
      <c r="F24" s="6" t="n">
        <v>973415.2506528809</v>
      </c>
      <c r="G24" s="6" t="n">
        <v>3237.123949925721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970178.1267029551</v>
      </c>
      <c r="M24" s="7" t="n">
        <v>1</v>
      </c>
      <c r="N24" s="6" t="n">
        <v>3326.5154777592</v>
      </c>
      <c r="O24" s="6" t="n">
        <v>3079.688448464524</v>
      </c>
      <c r="P24" s="6" t="n">
        <v>-3326.5154777592</v>
      </c>
      <c r="Q24" s="6" t="n">
        <v>0</v>
      </c>
      <c r="R24" s="6" t="n">
        <v>246.8270292946761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5.586717920065924</v>
      </c>
      <c r="O25" s="6" t="n">
        <v>5.586717920065924</v>
      </c>
      <c r="P25" s="6" t="n">
        <v>-5.586717920625924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1.078682959845365</v>
      </c>
      <c r="O26" s="6" t="n">
        <v>1.078682959845365</v>
      </c>
      <c r="P26" s="6" t="n">
        <v>1.299700264172832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0.9734177326966156</v>
      </c>
      <c r="O27" s="6" t="n">
        <v>0.9734177326966156</v>
      </c>
      <c r="P27" s="6" t="n">
        <v>-0.9734177326966156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0.3367690907815808</v>
      </c>
      <c r="O28" s="6" t="n">
        <v>0.3367690907815808</v>
      </c>
      <c r="P28" s="6" t="n">
        <v>0.05181102662105562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0.2173224947470261</v>
      </c>
      <c r="O29" s="6" t="n">
        <v>0.2173224947470261</v>
      </c>
      <c r="P29" s="6" t="n">
        <v>-0.2173224938420261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0.07507492309539025</v>
      </c>
      <c r="O30" s="6" t="n">
        <v>0.07507492309539025</v>
      </c>
      <c r="P30" s="6" t="n">
        <v>-0.07410489201737587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0.003809696995404374</v>
      </c>
      <c r="O31" s="6" t="n">
        <v>0.003809696995404374</v>
      </c>
      <c r="P31" s="6" t="n">
        <v>0.09567630300459562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0.0001960466539461288</v>
      </c>
      <c r="O32" s="6" t="n">
        <v>0.0001960466539461288</v>
      </c>
      <c r="P32" s="6" t="n">
        <v>-1.904665394612884e-05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2.158066425200579e-05</v>
      </c>
      <c r="O33" s="6" t="n">
        <v>2.158066425200579e-05</v>
      </c>
      <c r="P33" s="6" t="n">
        <v>-5.580664252005787e-06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1.966520592970949e-05</v>
      </c>
      <c r="O34" s="6" t="n">
        <v>1.966520592970949e-05</v>
      </c>
      <c r="P34" s="6" t="n">
        <v>-1.565199240141449e-05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5.767187364454041e-06</v>
      </c>
      <c r="O35" s="6" t="n">
        <v>5.767187364454041e-06</v>
      </c>
      <c r="P35" s="6" t="n">
        <v>2.328126355459589e-07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4.252168058180716e-06</v>
      </c>
      <c r="O36" s="6" t="n">
        <v>4.252168058180716e-06</v>
      </c>
      <c r="P36" s="6" t="n">
        <v>-4.252168058180716e-06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9.920221368451689e-07</v>
      </c>
      <c r="O37" s="6" t="n">
        <v>9.920221368451689e-07</v>
      </c>
      <c r="P37" s="6" t="n">
        <v>-5.026701293081688e-07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2.568019357921957e-07</v>
      </c>
      <c r="O38" s="6" t="n">
        <v>2.568019357921957e-07</v>
      </c>
      <c r="P38" s="6" t="n">
        <v>-2.568019357921957e-07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2.483499442110478e-10</v>
      </c>
      <c r="O39" s="6" t="n">
        <v>2.483499442110478e-10</v>
      </c>
      <c r="P39" s="6" t="n">
        <v>-1.08935818944211e-07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-1836635.040470432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8283645.140542674</v>
      </c>
    </row>
    <row r="5">
      <c r="A5" t="inlineStr">
        <is>
          <t>+ Sky-Direct revenue (full venue yield on fixed/capped SDE)</t>
        </is>
      </c>
      <c r="B5" s="3" t="n">
        <v>27497.03310050249</v>
      </c>
    </row>
    <row r="6">
      <c r="A6" t="inlineStr">
        <is>
          <t>equals sky_revenue (total Sky take this month)</t>
        </is>
      </c>
      <c r="B6" s="3" t="n">
        <v>8311142.173643176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11226025.31982347</v>
      </c>
    </row>
    <row r="11">
      <c r="A11" t="inlineStr">
        <is>
          <t xml:space="preserve">    ↳ actual CoF on Net_Subs (BR × utilized)</t>
        </is>
      </c>
      <c r="B11" s="3" t="n">
        <v>8283645.140542674</v>
      </c>
    </row>
    <row r="12">
      <c r="A12" t="inlineStr">
        <is>
          <t xml:space="preserve">    ↳ reduction from idle/SDE deductions</t>
        </is>
      </c>
      <c r="B12" s="3" t="n">
        <v>-2942380.1792808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121331.7425106354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27497.03310050249</v>
      </c>
      <c r="J5" s="6" t="n">
        <v>27497.03310050249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275589.8722452633</v>
      </c>
      <c r="O6" s="3" t="n">
        <v>360413.0841224129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278313.1017014981</v>
      </c>
      <c r="O7" s="3" t="n">
        <v>362731.4299090489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278279.1585953103</v>
      </c>
      <c r="O8" s="3" t="n">
        <v>362310.7920078611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280612.398886105</v>
      </c>
      <c r="O9" s="3" t="n">
        <v>365459.2472544374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283985.9386692815</v>
      </c>
      <c r="O10" s="3" t="n">
        <v>365069.0928238735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276483.4448682323</v>
      </c>
      <c r="O11" s="3" t="n">
        <v>361414.908828566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279102.4837867732</v>
      </c>
      <c r="O12" s="3" t="n">
        <v>363342.7885114123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289282.3095937762</v>
      </c>
      <c r="O13" s="3" t="n">
        <v>377719.5711582134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269344.7094692313</v>
      </c>
      <c r="O14" s="3" t="n">
        <v>357975.5100430839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265406.6322172877</v>
      </c>
      <c r="O15" s="3" t="n">
        <v>354181.2158696892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263815.7193374519</v>
      </c>
      <c r="O16" s="3" t="n">
        <v>352555.707011399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263350.756946586</v>
      </c>
      <c r="O17" s="3" t="n">
        <v>353426.9826824391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255372.9671856207</v>
      </c>
      <c r="O18" s="3" t="n">
        <v>345548.5407131515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251875.1870633846</v>
      </c>
      <c r="O19" s="3" t="n">
        <v>335879.8980175458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247680.118624185</v>
      </c>
      <c r="O20" s="3" t="n">
        <v>333895.9503955182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247203.8534350339</v>
      </c>
      <c r="O21" s="3" t="n">
        <v>334126.0971120361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247429.7356280966</v>
      </c>
      <c r="O22" s="3" t="n">
        <v>334006.9826630881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247846.633510764</v>
      </c>
      <c r="O23" s="3" t="n">
        <v>334245.4337934098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288058.2100003283</v>
      </c>
      <c r="O24" s="3" t="n">
        <v>375138.4299920719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285914.6165501568</v>
      </c>
      <c r="O25" s="3" t="n">
        <v>372752.7221400541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275130.5397904167</v>
      </c>
      <c r="O26" s="3" t="n">
        <v>361658.9788144564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275645.4456494317</v>
      </c>
      <c r="O27" s="3" t="n">
        <v>363942.9340441636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276993.3795008171</v>
      </c>
      <c r="O28" s="3" t="n">
        <v>366793.4704062095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277053.7278287587</v>
      </c>
      <c r="O29" s="3" t="n">
        <v>366969.634641595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278460.1495874733</v>
      </c>
      <c r="O30" s="3" t="n">
        <v>368186.1865487403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280957.441260857</v>
      </c>
      <c r="O31" s="3" t="n">
        <v>370753.2802029866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283509.7527545339</v>
      </c>
      <c r="O32" s="3" t="n">
        <v>375515.9671871767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284864.7273472302</v>
      </c>
      <c r="O33" s="3" t="n">
        <v>378115.4658895022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297823.1801230529</v>
      </c>
      <c r="O34" s="3" t="n">
        <v>393754.1943363804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295536.0232265131</v>
      </c>
      <c r="O35" s="3" t="n">
        <v>391688.2691113184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291556.1158628242</v>
      </c>
      <c r="O36" s="3" t="n">
        <v>386452.5535916321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8492478.331246275</v>
      </c>
      <c r="O38" s="11" t="n">
        <v>11226025.31982347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2026-06-09T15:26:11Z</dcterms:created>
  <dcterms:modified xmlns:dcterms="http://purl.org/dc/terms/" xmlns:xsi="http://www.w3.org/2001/XMLSchema-instance" xsi:type="dcterms:W3CDTF">2026-06-09T15:26:11Z</dcterms:modified>
</cp:coreProperties>
</file>