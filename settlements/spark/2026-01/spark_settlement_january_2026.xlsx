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7503304.563027895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8764185.242844267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7846754.820827944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7848777.898936837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7846754.820827944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10701633.66964417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7503304.563027895</v>
      </c>
    </row>
    <row r="23">
      <c r="A23" t="inlineStr">
        <is>
          <t>− CoF (deducted per-venue in display)</t>
        </is>
      </c>
      <c r="B23" s="3" t="n">
        <v>-7846754.820827944</v>
      </c>
    </row>
    <row r="24">
      <c r="A24" t="inlineStr"/>
      <c r="B24" s="4" t="n">
        <v>-1358390.185665234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2026-07-30T23:07:09+00:00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1676245.230835393</v>
      </c>
      <c r="O2" s="6" t="n">
        <v>1676245.230835393</v>
      </c>
      <c r="P2" s="6" t="n">
        <v>-542270.5714123801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1556562.680848116</v>
      </c>
      <c r="O3" s="6" t="n">
        <v>1556562.680848116</v>
      </c>
      <c r="P3" s="6" t="n">
        <v>-1556562.68084812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1090825.979585535</v>
      </c>
      <c r="O4" s="6" t="n">
        <v>1090825.979585535</v>
      </c>
      <c r="P4" s="6" t="n">
        <v>-124260.3815525346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810729.2065670444</v>
      </c>
      <c r="O5" s="6" t="n">
        <v>810729.2065670444</v>
      </c>
      <c r="P5" s="6" t="n">
        <v>86662.87297108186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616979.9443323136</v>
      </c>
      <c r="O6" s="6" t="n">
        <v>616979.9443323136</v>
      </c>
      <c r="P6" s="6" t="n">
        <v>233925.5169091142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238689.828337</v>
      </c>
      <c r="I7" s="6" t="n">
        <v>0</v>
      </c>
      <c r="J7" s="6" t="n">
        <v>238689.828337</v>
      </c>
      <c r="K7" s="6" t="n">
        <v>0</v>
      </c>
      <c r="L7" s="6" t="n">
        <v>142947138.0437977</v>
      </c>
      <c r="M7" s="7" t="n">
        <v>1</v>
      </c>
      <c r="N7" s="6" t="n">
        <v>464690.5704241564</v>
      </c>
      <c r="O7" s="6" t="n">
        <v>464690.5704241564</v>
      </c>
      <c r="P7" s="6" t="n">
        <v>-226000.7420871564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325079.1845672519</v>
      </c>
      <c r="O8" s="6" t="n">
        <v>325079.1845672519</v>
      </c>
      <c r="P8" s="6" t="n">
        <v>-317647.5259840388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307063.1052475829</v>
      </c>
      <c r="O9" s="6" t="n">
        <v>307063.1052475829</v>
      </c>
      <c r="P9" s="6" t="n">
        <v>151215.405306175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267547.2941407219</v>
      </c>
      <c r="O10" s="6" t="n">
        <v>246608.4161975956</v>
      </c>
      <c r="P10" s="6" t="n">
        <v>-14271.23727282715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243255.0429465711</v>
      </c>
      <c r="O11" s="6" t="n">
        <v>224217.3334841492</v>
      </c>
      <c r="P11" s="6" t="n">
        <v>6423.549501905346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158222.5225310544</v>
      </c>
      <c r="O12" s="6" t="n">
        <v>158222.5225310544</v>
      </c>
      <c r="P12" s="6" t="n">
        <v>59898.94226104408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145492.432134</v>
      </c>
      <c r="I13" s="6" t="n">
        <v>0</v>
      </c>
      <c r="J13" s="6" t="n">
        <v>145492.432134</v>
      </c>
      <c r="K13" s="6" t="n">
        <v>0</v>
      </c>
      <c r="L13" s="6" t="n">
        <v>43188250.13840726</v>
      </c>
      <c r="M13" s="7" t="n">
        <v>1</v>
      </c>
      <c r="N13" s="6" t="n">
        <v>140395.7635464419</v>
      </c>
      <c r="O13" s="6" t="n">
        <v>140395.7635464419</v>
      </c>
      <c r="P13" s="6" t="n">
        <v>5096.668587558054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139483.2153045946</v>
      </c>
      <c r="O14" s="6" t="n">
        <v>128566.9321489086</v>
      </c>
      <c r="P14" s="6" t="n">
        <v>-7212.351719799465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48839.90993126101</v>
      </c>
      <c r="O16" s="6" t="n">
        <v>48839.90993126101</v>
      </c>
      <c r="P16" s="6" t="n">
        <v>33774.73197474239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31596.950879</v>
      </c>
      <c r="I17" s="6" t="n">
        <v>0</v>
      </c>
      <c r="J17" s="6" t="n">
        <v>31596.950879</v>
      </c>
      <c r="K17" s="6" t="n">
        <v>0</v>
      </c>
      <c r="L17" s="6" t="n">
        <v>9999435.801523969</v>
      </c>
      <c r="M17" s="7" t="n">
        <v>1</v>
      </c>
      <c r="N17" s="6" t="n">
        <v>32506.02698394853</v>
      </c>
      <c r="O17" s="6" t="n">
        <v>32506.02698394853</v>
      </c>
      <c r="P17" s="6" t="n">
        <v>-909.0761049485302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22334.64157240027</v>
      </c>
      <c r="O18" s="6" t="n">
        <v>22334.64157240027</v>
      </c>
      <c r="P18" s="6" t="n">
        <v>578.9912146880727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16253.93053625807</v>
      </c>
      <c r="O19" s="6" t="n">
        <v>16253.93053625807</v>
      </c>
      <c r="P19" s="6" t="n">
        <v>-16253.93053625807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16253.93053625807</v>
      </c>
      <c r="O20" s="6" t="n">
        <v>16253.93053625807</v>
      </c>
      <c r="P20" s="6" t="n">
        <v>-16253.93053625807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16253.38705888393</v>
      </c>
      <c r="O21" s="6" t="n">
        <v>16253.38705888393</v>
      </c>
      <c r="P21" s="6" t="n">
        <v>-16253.38705888393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15408.81437392542</v>
      </c>
      <c r="O22" s="6" t="n">
        <v>15408.81437392542</v>
      </c>
      <c r="P22" s="6" t="n">
        <v>-15408.81437392542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3153.841575845363</v>
      </c>
      <c r="O23" s="6" t="n">
        <v>2907.014546550687</v>
      </c>
      <c r="P23" s="6" t="n">
        <v>83.28237408035788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1.022690316236824</v>
      </c>
      <c r="O25" s="6" t="n">
        <v>1.022690316236824</v>
      </c>
      <c r="P25" s="6" t="n">
        <v>1.355692907781373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0.92288923246247</v>
      </c>
      <c r="O26" s="6" t="n">
        <v>0.92288923246247</v>
      </c>
      <c r="P26" s="6" t="n">
        <v>-0.92288923246247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0.3192879657611127</v>
      </c>
      <c r="O27" s="6" t="n">
        <v>0.3192879657611127</v>
      </c>
      <c r="P27" s="6" t="n">
        <v>0.06929215164152368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0.0711779083382262</v>
      </c>
      <c r="O28" s="6" t="n">
        <v>0.0711779083382262</v>
      </c>
      <c r="P28" s="6" t="n">
        <v>-0.07020787726021183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0.003611941942195055</v>
      </c>
      <c r="O29" s="6" t="n">
        <v>0.003611941942195055</v>
      </c>
      <c r="P29" s="6" t="n">
        <v>0.09587405805780494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0.0001858701972543256</v>
      </c>
      <c r="O30" s="6" t="n">
        <v>0.0001858701972543256</v>
      </c>
      <c r="P30" s="6" t="n">
        <v>-8.870197254325581e-06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2.046044775904166e-05</v>
      </c>
      <c r="O31" s="6" t="n">
        <v>2.046044775904166e-05</v>
      </c>
      <c r="P31" s="6" t="n">
        <v>-4.460447759041664e-06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1.864441770174987e-05</v>
      </c>
      <c r="O32" s="6" t="n">
        <v>1.864441770174987e-05</v>
      </c>
      <c r="P32" s="6" t="n">
        <v>-1.463120417345487e-05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5.467822232397216e-06</v>
      </c>
      <c r="O33" s="6" t="n">
        <v>5.467822232397216e-06</v>
      </c>
      <c r="P33" s="6" t="n">
        <v>5.321777676027839e-07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4.031445065875855e-06</v>
      </c>
      <c r="O34" s="6" t="n">
        <v>4.031445065875855e-06</v>
      </c>
      <c r="P34" s="6" t="n">
        <v>-4.031445065875855e-06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9.405279128443397e-07</v>
      </c>
      <c r="O35" s="6" t="n">
        <v>9.405279128443397e-07</v>
      </c>
      <c r="P35" s="6" t="n">
        <v>-4.511759053073397e-07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2.434717731734619e-07</v>
      </c>
      <c r="O36" s="6" t="n">
        <v>2.434717731734619e-07</v>
      </c>
      <c r="P36" s="6" t="n">
        <v>-2.434717731734619e-07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0.0367</v>
      </c>
    </row>
    <row r="10">
      <c r="A10" t="inlineStr">
        <is>
          <t>Subsidised rate (BR*), period avg</t>
        </is>
      </c>
      <c r="B10" s="7" t="n">
        <v>0.0367</v>
      </c>
    </row>
    <row r="11">
      <c r="A11" s="8" t="inlineStr">
        <is>
          <t>Effective blended rate charged</t>
        </is>
      </c>
      <c r="B11" s="10" t="n">
        <v>0.04040934830525196</v>
      </c>
    </row>
    <row r="12">
      <c r="A12" s="8" t="inlineStr">
        <is>
          <t>Diff vs base rate (bps)</t>
        </is>
      </c>
      <c r="B12" s="11" t="n">
        <v>-27.10653591208412</v>
      </c>
    </row>
    <row r="13">
      <c r="A13" s="8" t="inlineStr">
        <is>
          <t>Subsidy benefit to prime (USD)</t>
        </is>
      </c>
      <c r="B13" s="12" t="n">
        <v>524392.1336617329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7968086.56333858</v>
      </c>
    </row>
    <row r="17">
      <c r="A17" s="8" t="inlineStr">
        <is>
          <t xml:space="preserve">  = subsidy benefit</t>
        </is>
      </c>
      <c r="B17" s="12" t="n">
        <v>524392.1336617329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3061302.738325278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7846754.820827944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7848777.898936837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10701633.66964417</v>
      </c>
    </row>
    <row r="31">
      <c r="A31" t="inlineStr">
        <is>
          <t xml:space="preserve">    ↳ actual CoF on Net_Subs (BR × utilized)</t>
        </is>
      </c>
      <c r="B31" s="3" t="n">
        <v>7846754.820827944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0.0367</v>
      </c>
      <c r="M6" s="7" t="n">
        <v>0.0367</v>
      </c>
      <c r="N6" s="3" t="n">
        <v>258674.0088349565</v>
      </c>
      <c r="O6" s="3" t="n">
        <v>343497.2243652721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0.0367</v>
      </c>
      <c r="M7" s="7" t="n">
        <v>0.0367</v>
      </c>
      <c r="N7" s="3" t="n">
        <v>261397.2384084754</v>
      </c>
      <c r="O7" s="3" t="n">
        <v>345815.5702517546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0.0367</v>
      </c>
      <c r="M8" s="7" t="n">
        <v>0.0367</v>
      </c>
      <c r="N8" s="3" t="n">
        <v>261363.2953008257</v>
      </c>
      <c r="O8" s="3" t="n">
        <v>345394.9323324507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0.0367</v>
      </c>
      <c r="M9" s="7" t="n">
        <v>0.0367</v>
      </c>
      <c r="N9" s="3" t="n">
        <v>263696.5356921084</v>
      </c>
      <c r="O9" s="3" t="n">
        <v>348543.3877146246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0.0367</v>
      </c>
      <c r="M10" s="7" t="n">
        <v>0.0367</v>
      </c>
      <c r="N10" s="3" t="n">
        <v>267070.0756205765</v>
      </c>
      <c r="O10" s="3" t="n">
        <v>348153.2332672576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0.0367</v>
      </c>
      <c r="M11" s="7" t="n">
        <v>0.0367</v>
      </c>
      <c r="N11" s="3" t="n">
        <v>259567.58149641</v>
      </c>
      <c r="O11" s="3" t="n">
        <v>344499.0491145718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0.0367</v>
      </c>
      <c r="M12" s="7" t="n">
        <v>0.0367</v>
      </c>
      <c r="N12" s="3" t="n">
        <v>262186.6205277476</v>
      </c>
      <c r="O12" s="3" t="n">
        <v>346426.928880448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0.0367</v>
      </c>
      <c r="M13" s="7" t="n">
        <v>0.0367</v>
      </c>
      <c r="N13" s="3" t="n">
        <v>272366.4467731754</v>
      </c>
      <c r="O13" s="3" t="n">
        <v>360803.7121464284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0.0367</v>
      </c>
      <c r="M14" s="7" t="n">
        <v>0.0367</v>
      </c>
      <c r="N14" s="3" t="n">
        <v>252428.8457899579</v>
      </c>
      <c r="O14" s="3" t="n">
        <v>341059.6501809616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0.0367</v>
      </c>
      <c r="M15" s="7" t="n">
        <v>0.0367</v>
      </c>
      <c r="N15" s="3" t="n">
        <v>248490.7683684092</v>
      </c>
      <c r="O15" s="3" t="n">
        <v>337265.3558441543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0.0367</v>
      </c>
      <c r="M16" s="7" t="n">
        <v>0.0367</v>
      </c>
      <c r="N16" s="3" t="n">
        <v>246899.8554200559</v>
      </c>
      <c r="O16" s="3" t="n">
        <v>335639.8469158566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0.0367</v>
      </c>
      <c r="M17" s="7" t="n">
        <v>0.0367</v>
      </c>
      <c r="N17" s="3" t="n">
        <v>246434.893009165</v>
      </c>
      <c r="O17" s="3" t="n">
        <v>336511.1226244209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0.0367</v>
      </c>
      <c r="M18" s="7" t="n">
        <v>0.0367</v>
      </c>
      <c r="N18" s="3" t="n">
        <v>238457.1029046124</v>
      </c>
      <c r="O18" s="3" t="n">
        <v>328632.6803158245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0.0367</v>
      </c>
      <c r="M19" s="7" t="n">
        <v>0.0367</v>
      </c>
      <c r="N19" s="3" t="n">
        <v>234959.3226317338</v>
      </c>
      <c r="O19" s="3" t="n">
        <v>318964.0372038097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0.0367</v>
      </c>
      <c r="M20" s="7" t="n">
        <v>0.0367</v>
      </c>
      <c r="N20" s="3" t="n">
        <v>230764.2540118611</v>
      </c>
      <c r="O20" s="3" t="n">
        <v>316980.0894963375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0.0367</v>
      </c>
      <c r="M21" s="7" t="n">
        <v>0.0367</v>
      </c>
      <c r="N21" s="3" t="n">
        <v>230287.9888021982</v>
      </c>
      <c r="O21" s="3" t="n">
        <v>317210.2362227674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0.0367</v>
      </c>
      <c r="M22" s="7" t="n">
        <v>0.0367</v>
      </c>
      <c r="N22" s="3" t="n">
        <v>230513.8710049892</v>
      </c>
      <c r="O22" s="3" t="n">
        <v>317091.1217686893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0.0367</v>
      </c>
      <c r="M23" s="7" t="n">
        <v>0.0367</v>
      </c>
      <c r="N23" s="3" t="n">
        <v>230930.7689056115</v>
      </c>
      <c r="O23" s="3" t="n">
        <v>317329.5729092807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0.0367</v>
      </c>
      <c r="M24" s="7" t="n">
        <v>0.0367</v>
      </c>
      <c r="N24" s="3" t="n">
        <v>271142.3471270078</v>
      </c>
      <c r="O24" s="3" t="n">
        <v>358222.5708691222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0.0367</v>
      </c>
      <c r="M25" s="7" t="n">
        <v>0.0367</v>
      </c>
      <c r="N25" s="3" t="n">
        <v>268998.7535845161</v>
      </c>
      <c r="O25" s="3" t="n">
        <v>355836.8629143568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0.0367</v>
      </c>
      <c r="M26" s="7" t="n">
        <v>0.0367</v>
      </c>
      <c r="N26" s="3" t="n">
        <v>258214.6763603274</v>
      </c>
      <c r="O26" s="3" t="n">
        <v>344743.1191109737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0.0367</v>
      </c>
      <c r="M27" s="7" t="n">
        <v>0.0367</v>
      </c>
      <c r="N27" s="3" t="n">
        <v>258729.5822415184</v>
      </c>
      <c r="O27" s="3" t="n">
        <v>347027.0744390463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0.0367</v>
      </c>
      <c r="M28" s="7" t="n">
        <v>0.0367</v>
      </c>
      <c r="N28" s="3" t="n">
        <v>260077.5161509566</v>
      </c>
      <c r="O28" s="3" t="n">
        <v>349877.6109238591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0.0367</v>
      </c>
      <c r="M29" s="7" t="n">
        <v>0.0367</v>
      </c>
      <c r="N29" s="3" t="n">
        <v>260137.8644814973</v>
      </c>
      <c r="O29" s="3" t="n">
        <v>350053.7751668316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0.0367</v>
      </c>
      <c r="M30" s="7" t="n">
        <v>0.0367</v>
      </c>
      <c r="N30" s="3" t="n">
        <v>261544.2863007836</v>
      </c>
      <c r="O30" s="3" t="n">
        <v>351270.3271263714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0.0367</v>
      </c>
      <c r="M31" s="7" t="n">
        <v>0.0367</v>
      </c>
      <c r="N31" s="3" t="n">
        <v>264041.5780817207</v>
      </c>
      <c r="O31" s="3" t="n">
        <v>353837.4208911773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0.0367</v>
      </c>
      <c r="M32" s="7" t="n">
        <v>0.0367</v>
      </c>
      <c r="N32" s="3" t="n">
        <v>266593.8896853206</v>
      </c>
      <c r="O32" s="3" t="n">
        <v>358600.1080804868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0.0367</v>
      </c>
      <c r="M33" s="7" t="n">
        <v>0.0367</v>
      </c>
      <c r="N33" s="3" t="n">
        <v>267948.8643363729</v>
      </c>
      <c r="O33" s="3" t="n">
        <v>361199.6068947675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0.0367</v>
      </c>
      <c r="M34" s="7" t="n">
        <v>0.0367</v>
      </c>
      <c r="N34" s="3" t="n">
        <v>280907.3176702902</v>
      </c>
      <c r="O34" s="3" t="n">
        <v>376838.3360151744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0.0367</v>
      </c>
      <c r="M35" s="7" t="n">
        <v>0.0367</v>
      </c>
      <c r="N35" s="3" t="n">
        <v>278620.1606752471</v>
      </c>
      <c r="O35" s="3" t="n">
        <v>374772.4107011372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0.0367</v>
      </c>
      <c r="M36" s="7" t="n">
        <v>0.0367</v>
      </c>
      <c r="N36" s="3" t="n">
        <v>274640.2531401516</v>
      </c>
      <c r="O36" s="3" t="n">
        <v>369536.694955959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7968086.56333858</v>
      </c>
      <c r="O38" s="12" t="n">
        <v>10701633.66964417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2026-07-30T23:07:10Z</dcterms:created>
  <dcterms:modified xsi:type="dcterms:W3CDTF">2026-07-30T23:07:10Z</dcterms:modified>
</cp:coreProperties>
</file>