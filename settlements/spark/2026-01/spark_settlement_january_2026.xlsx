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7503304.563025013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/>
      <c r="B6" s="4" t="n">
        <v>7609697.112841384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7734669.938868322</v>
      </c>
    </row>
    <row r="10">
      <c r="A10" t="inlineStr">
        <is>
          <t>+ SDE revenue (Sky-Direct, full to Sky)</t>
        </is>
      </c>
      <c r="B10" s="3" t="n">
        <v>2023.078108892489</v>
      </c>
    </row>
    <row r="11">
      <c r="A11" t="inlineStr"/>
      <c r="B11" s="4" t="n">
        <v>7736693.016977214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7734669.938868322</v>
      </c>
    </row>
    <row r="15">
      <c r="A15" t="inlineStr">
        <is>
          <t>reduction from idle/SDE deductions</t>
        </is>
      </c>
      <c r="B15" s="3" t="n">
        <v>-2942380.297009195</v>
      </c>
    </row>
    <row r="16">
      <c r="A16" t="inlineStr"/>
      <c r="B16" s="4" t="n">
        <v>10677050.23587752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7503304.563025013</v>
      </c>
    </row>
    <row r="22">
      <c r="A22" t="inlineStr">
        <is>
          <t>− CoF (deducted per-venue in display)</t>
        </is>
      </c>
      <c r="B22" s="3" t="n">
        <v>-7734669.938868322</v>
      </c>
    </row>
    <row r="23">
      <c r="A23" t="inlineStr"/>
      <c r="B23" s="4" t="n">
        <v>-1246305.303708494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2026-06-23T21:06:40+00:00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1133974.659423022</v>
      </c>
      <c r="I2" s="6" t="n">
        <v>0</v>
      </c>
      <c r="J2" s="6" t="n">
        <v>1133974.659423022</v>
      </c>
      <c r="K2" s="6" t="n">
        <v>0</v>
      </c>
      <c r="L2" s="6" t="n">
        <v>515643040.0315013</v>
      </c>
      <c r="M2" s="7" t="n">
        <v>1</v>
      </c>
      <c r="N2" s="6" t="n">
        <v>1652541.117523931</v>
      </c>
      <c r="O2" s="6" t="n">
        <v>1652541.117523931</v>
      </c>
      <c r="P2" s="6" t="n">
        <v>-518566.4581009091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1534551.022002216</v>
      </c>
      <c r="O3" s="6" t="n">
        <v>1534551.022002216</v>
      </c>
      <c r="P3" s="6" t="n">
        <v>-1534551.022002223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1075400.3949828</v>
      </c>
      <c r="O4" s="6" t="n">
        <v>1075400.3949828</v>
      </c>
      <c r="P4" s="6" t="n">
        <v>-108834.7969498004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799264.5254906372</v>
      </c>
      <c r="O5" s="6" t="n">
        <v>799264.5254906372</v>
      </c>
      <c r="P5" s="6" t="n">
        <v>98127.554047489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608255.1096587715</v>
      </c>
      <c r="O6" s="6" t="n">
        <v>608255.1096587715</v>
      </c>
      <c r="P6" s="6" t="n">
        <v>242650.3515826334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458119.2897228166</v>
      </c>
      <c r="O7" s="6" t="n">
        <v>458119.2897228166</v>
      </c>
      <c r="P7" s="6" t="n">
        <v>-219429.4613868165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320482.1759169488</v>
      </c>
      <c r="O8" s="6" t="n">
        <v>320482.1759169488</v>
      </c>
      <c r="P8" s="6" t="n">
        <v>-313050.5173337357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302720.865516389</v>
      </c>
      <c r="O9" s="6" t="n">
        <v>302720.865516389</v>
      </c>
      <c r="P9" s="6" t="n">
        <v>155557.645037369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263763.8552620765</v>
      </c>
      <c r="O10" s="6" t="n">
        <v>242824.9773189502</v>
      </c>
      <c r="P10" s="6" t="n">
        <v>-10487.79839418177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239815.1255672291</v>
      </c>
      <c r="O11" s="6" t="n">
        <v>220777.4161048071</v>
      </c>
      <c r="P11" s="6" t="n">
        <v>9863.46688124739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155985.0667378869</v>
      </c>
      <c r="O12" s="6" t="n">
        <v>155985.0667378869</v>
      </c>
      <c r="P12" s="6" t="n">
        <v>62136.39805438424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138410.399456311</v>
      </c>
      <c r="O13" s="6" t="n">
        <v>138410.399456311</v>
      </c>
      <c r="P13" s="6" t="n">
        <v>7082.032676688972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137510.7557385326</v>
      </c>
      <c r="O14" s="6" t="n">
        <v>126594.4725828467</v>
      </c>
      <c r="P14" s="6" t="n">
        <v>-5239.892153737481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48149.2551643835</v>
      </c>
      <c r="O16" s="6" t="n">
        <v>48149.2551643835</v>
      </c>
      <c r="P16" s="6" t="n">
        <v>34465.38674161991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32046.35286660667</v>
      </c>
      <c r="O17" s="6" t="n">
        <v>32046.35286660667</v>
      </c>
      <c r="P17" s="6" t="n">
        <v>-449.4019886066722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22018.80301556858</v>
      </c>
      <c r="O18" s="6" t="n">
        <v>22018.80301556858</v>
      </c>
      <c r="P18" s="6" t="n">
        <v>894.8297715197593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8e-12</v>
      </c>
      <c r="I19" s="6" t="n">
        <v>0</v>
      </c>
      <c r="J19" s="6" t="n">
        <v>8e-12</v>
      </c>
      <c r="K19" s="6" t="n">
        <v>0</v>
      </c>
      <c r="L19" s="6" t="n">
        <v>5000180.50613029</v>
      </c>
      <c r="M19" s="7" t="n">
        <v>1</v>
      </c>
      <c r="N19" s="6" t="n">
        <v>16024.65899843646</v>
      </c>
      <c r="O19" s="6" t="n">
        <v>16024.65899843646</v>
      </c>
      <c r="P19" s="6" t="n">
        <v>-16024.65899843645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5000000</v>
      </c>
      <c r="F20" s="6" t="n">
        <v>4994817.315553</v>
      </c>
      <c r="G20" s="6" t="n">
        <v>-5182.684447</v>
      </c>
      <c r="H20" s="6" t="n">
        <v>4.83813e-09</v>
      </c>
      <c r="I20" s="6" t="n">
        <v>0</v>
      </c>
      <c r="J20" s="6" t="n">
        <v>4.83813e-09</v>
      </c>
      <c r="K20" s="6" t="n">
        <v>0</v>
      </c>
      <c r="L20" s="6" t="n">
        <v>4993920.215864256</v>
      </c>
      <c r="M20" s="7" t="n">
        <v>1</v>
      </c>
      <c r="N20" s="6" t="n">
        <v>16004.59591938932</v>
      </c>
      <c r="O20" s="6" t="n">
        <v>16004.59591938932</v>
      </c>
      <c r="P20" s="6" t="n">
        <v>-16004.59591938448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1.658e-09</v>
      </c>
      <c r="I21" s="6" t="n">
        <v>0</v>
      </c>
      <c r="J21" s="6" t="n">
        <v>1.658e-09</v>
      </c>
      <c r="K21" s="6" t="n">
        <v>0</v>
      </c>
      <c r="L21" s="6" t="n">
        <v>4980707.317678578</v>
      </c>
      <c r="M21" s="7" t="n">
        <v>1</v>
      </c>
      <c r="N21" s="6" t="n">
        <v>15962.25101053114</v>
      </c>
      <c r="O21" s="6" t="n">
        <v>15962.25101053114</v>
      </c>
      <c r="P21" s="6" t="n">
        <v>-15962.25101052948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-9.9179e-08</v>
      </c>
      <c r="I22" s="6" t="n">
        <v>0</v>
      </c>
      <c r="J22" s="6" t="n">
        <v>-9.9179e-08</v>
      </c>
      <c r="K22" s="6" t="n">
        <v>0</v>
      </c>
      <c r="L22" s="6" t="n">
        <v>4948516.885305397</v>
      </c>
      <c r="M22" s="7" t="n">
        <v>1</v>
      </c>
      <c r="N22" s="6" t="n">
        <v>15859.08659453455</v>
      </c>
      <c r="O22" s="6" t="n">
        <v>15859.08659453455</v>
      </c>
      <c r="P22" s="6" t="n">
        <v>-15859.08659463373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3109.242482165629</v>
      </c>
      <c r="O23" s="6" t="n">
        <v>2862.415452870953</v>
      </c>
      <c r="P23" s="6" t="n">
        <v>127.8814677600924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5.221818689581455</v>
      </c>
      <c r="O25" s="6" t="n">
        <v>5.221818689581455</v>
      </c>
      <c r="P25" s="6" t="n">
        <v>-5.221818690141455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1.008228251443041</v>
      </c>
      <c r="O26" s="6" t="n">
        <v>1.008228251443041</v>
      </c>
      <c r="P26" s="6" t="n">
        <v>1.370154972575156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0.9098384744123992</v>
      </c>
      <c r="O27" s="6" t="n">
        <v>0.9098384744123992</v>
      </c>
      <c r="P27" s="6" t="n">
        <v>-0.9098384744123992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0.3147728518743365</v>
      </c>
      <c r="O28" s="6" t="n">
        <v>0.3147728518743365</v>
      </c>
      <c r="P28" s="6" t="n">
        <v>0.07380726552829994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0.2031279690461081</v>
      </c>
      <c r="O29" s="6" t="n">
        <v>0.2031279690461081</v>
      </c>
      <c r="P29" s="6" t="n">
        <v>-0.2031279681411081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0.07017136754485954</v>
      </c>
      <c r="O30" s="6" t="n">
        <v>0.07017136754485954</v>
      </c>
      <c r="P30" s="6" t="n">
        <v>-0.06920133646684518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0.003560864761185244</v>
      </c>
      <c r="O31" s="6" t="n">
        <v>0.003560864761185244</v>
      </c>
      <c r="P31" s="6" t="n">
        <v>0.09592513523881475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0.0001832417702581489</v>
      </c>
      <c r="O32" s="6" t="n">
        <v>0.0001832417702581489</v>
      </c>
      <c r="P32" s="6" t="n">
        <v>-6.241770258148888e-06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2.017111254533797e-05</v>
      </c>
      <c r="O33" s="6" t="n">
        <v>2.017111254533797e-05</v>
      </c>
      <c r="P33" s="6" t="n">
        <v>-4.17111254533797e-06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1.838076332606629e-05</v>
      </c>
      <c r="O34" s="6" t="n">
        <v>1.838076332606629e-05</v>
      </c>
      <c r="P34" s="6" t="n">
        <v>-1.436754979777128e-05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5.390500683390287e-06</v>
      </c>
      <c r="O35" s="6" t="n">
        <v>5.390500683390287e-06</v>
      </c>
      <c r="P35" s="6" t="n">
        <v>6.094993166097132e-07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3.974435608731671e-06</v>
      </c>
      <c r="O36" s="6" t="n">
        <v>3.974435608731671e-06</v>
      </c>
      <c r="P36" s="6" t="n">
        <v>-3.974435608731671e-06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9.272277227477251e-07</v>
      </c>
      <c r="O37" s="6" t="n">
        <v>9.272277227477251e-07</v>
      </c>
      <c r="P37" s="6" t="n">
        <v>-4.378757152107251e-07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2.400287909693785e-07</v>
      </c>
      <c r="O38" s="6" t="n">
        <v>2.400287909693785e-07</v>
      </c>
      <c r="P38" s="6" t="n">
        <v>-2.400287909693785e-07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2.321288453780494e-10</v>
      </c>
      <c r="O39" s="6" t="n">
        <v>2.321288453780494e-10</v>
      </c>
      <c r="P39" s="6" t="n">
        <v>-1.08919597845378e-07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0.0364</v>
      </c>
    </row>
    <row r="11">
      <c r="A11" s="8" t="inlineStr">
        <is>
          <t>Effective blended rate charged</t>
        </is>
      </c>
      <c r="B11" s="10" t="n">
        <v>0.040282682287005</v>
      </c>
    </row>
    <row r="12">
      <c r="A12" s="8" t="inlineStr">
        <is>
          <t>Diff vs base rate (bps)</t>
        </is>
      </c>
      <c r="B12" s="11" t="n">
        <v>-28.37319609455365</v>
      </c>
    </row>
    <row r="13">
      <c r="A13" s="8" t="inlineStr">
        <is>
          <t>Subsidy benefit to prime (USD)</t>
        </is>
      </c>
      <c r="B13" s="12" t="n">
        <v>548975.5674290399</v>
      </c>
    </row>
    <row r="15">
      <c r="A15" t="inlineStr">
        <is>
          <t>CoF at full base rate (no subsidy)</t>
        </is>
      </c>
      <c r="B15" s="3" t="n">
        <v>8492478.697000964</v>
      </c>
    </row>
    <row r="16">
      <c r="A16" t="inlineStr">
        <is>
          <t xml:space="preserve">  − actual CoF (subsidy on first tranche)</t>
        </is>
      </c>
      <c r="B16" s="3" t="n">
        <v>7943503.129571924</v>
      </c>
    </row>
    <row r="17">
      <c r="A17" s="8" t="inlineStr">
        <is>
          <t xml:space="preserve">  = subsidy benefit</t>
        </is>
      </c>
      <c r="B17" s="12" t="n">
        <v>548975.5674290399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Rate (APY)</t>
        </is>
      </c>
      <c r="D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7" t="n">
        <v>0.0364</v>
      </c>
      <c r="D20" s="3" t="n">
        <v>3036719.304560052</v>
      </c>
    </row>
    <row r="21">
      <c r="A21" t="inlineStr">
        <is>
          <t>Excess (&gt; cap)</t>
        </is>
      </c>
      <c r="B21" s="6" t="n">
        <v>1368433176.884962</v>
      </c>
      <c r="C21" s="7" t="n">
        <v>0.04312000189646037</v>
      </c>
      <c r="D21" s="3" t="n">
        <v>4906783.825013679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7734669.938868322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7736693.016977214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10677050.23587752</v>
      </c>
    </row>
    <row r="31">
      <c r="A31" t="inlineStr">
        <is>
          <t xml:space="preserve">    ↳ actual CoF on Net_Subs (BR × utilized)</t>
        </is>
      </c>
      <c r="B31" s="3" t="n">
        <v>7734669.938868322</v>
      </c>
    </row>
    <row r="32">
      <c r="A32" t="inlineStr">
        <is>
          <t xml:space="preserve">    ↳ reduction from idle/SDE deductions</t>
        </is>
      </c>
      <c r="B32" s="3" t="n">
        <v>-2942380.297009195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0.0364</v>
      </c>
      <c r="M6" s="7" t="n">
        <v>0.0364</v>
      </c>
      <c r="N6" s="3" t="n">
        <v>257880.9948424837</v>
      </c>
      <c r="O6" s="3" t="n">
        <v>342704.2103727993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0.0364</v>
      </c>
      <c r="M7" s="7" t="n">
        <v>0.0364</v>
      </c>
      <c r="N7" s="3" t="n">
        <v>260604.2244160027</v>
      </c>
      <c r="O7" s="3" t="n">
        <v>345022.5562592818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0.0364</v>
      </c>
      <c r="M8" s="7" t="n">
        <v>0.0364</v>
      </c>
      <c r="N8" s="3" t="n">
        <v>260570.2813083529</v>
      </c>
      <c r="O8" s="3" t="n">
        <v>344601.9183399779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0.0364</v>
      </c>
      <c r="M9" s="7" t="n">
        <v>0.0364</v>
      </c>
      <c r="N9" s="3" t="n">
        <v>262903.5216996357</v>
      </c>
      <c r="O9" s="3" t="n">
        <v>347750.3737221519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0.0364</v>
      </c>
      <c r="M11" s="7" t="n">
        <v>0.0364</v>
      </c>
      <c r="N11" s="3" t="n">
        <v>258774.5675039372</v>
      </c>
      <c r="O11" s="3" t="n">
        <v>343706.035122099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0.0364</v>
      </c>
      <c r="M12" s="7" t="n">
        <v>0.0364</v>
      </c>
      <c r="N12" s="3" t="n">
        <v>261393.6065352748</v>
      </c>
      <c r="O12" s="3" t="n">
        <v>345633.9148879752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0.0364</v>
      </c>
      <c r="M13" s="7" t="n">
        <v>0.0364</v>
      </c>
      <c r="N13" s="3" t="n">
        <v>271573.4327807026</v>
      </c>
      <c r="O13" s="3" t="n">
        <v>360010.6981539556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0.0364</v>
      </c>
      <c r="M14" s="7" t="n">
        <v>0.0364</v>
      </c>
      <c r="N14" s="3" t="n">
        <v>251635.8317974851</v>
      </c>
      <c r="O14" s="3" t="n">
        <v>340266.6361884889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0.0364</v>
      </c>
      <c r="M15" s="7" t="n">
        <v>0.0364</v>
      </c>
      <c r="N15" s="3" t="n">
        <v>247697.7543759364</v>
      </c>
      <c r="O15" s="3" t="n">
        <v>336472.3418516815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0.0364</v>
      </c>
      <c r="M16" s="7" t="n">
        <v>0.0364</v>
      </c>
      <c r="N16" s="3" t="n">
        <v>246106.8414275831</v>
      </c>
      <c r="O16" s="3" t="n">
        <v>334846.8329233839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0.0364</v>
      </c>
      <c r="M17" s="7" t="n">
        <v>0.0364</v>
      </c>
      <c r="N17" s="3" t="n">
        <v>245641.8790166923</v>
      </c>
      <c r="O17" s="3" t="n">
        <v>335718.1086319481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0.0364</v>
      </c>
      <c r="M18" s="7" t="n">
        <v>0.0364</v>
      </c>
      <c r="N18" s="3" t="n">
        <v>237664.0889121396</v>
      </c>
      <c r="O18" s="3" t="n">
        <v>327839.6663233517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0.0364</v>
      </c>
      <c r="M19" s="7" t="n">
        <v>0.0364</v>
      </c>
      <c r="N19" s="3" t="n">
        <v>234166.3086392611</v>
      </c>
      <c r="O19" s="3" t="n">
        <v>318171.0232113369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0.0364</v>
      </c>
      <c r="M20" s="7" t="n">
        <v>0.0364</v>
      </c>
      <c r="N20" s="3" t="n">
        <v>229971.2400193883</v>
      </c>
      <c r="O20" s="3" t="n">
        <v>316187.0755038647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0.0364</v>
      </c>
      <c r="M21" s="7" t="n">
        <v>0.0364</v>
      </c>
      <c r="N21" s="3" t="n">
        <v>229494.9748097254</v>
      </c>
      <c r="O21" s="3" t="n">
        <v>316417.2222302946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0.0364</v>
      </c>
      <c r="M22" s="7" t="n">
        <v>0.0364</v>
      </c>
      <c r="N22" s="3" t="n">
        <v>229720.8570125164</v>
      </c>
      <c r="O22" s="3" t="n">
        <v>316298.1077762165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0.0364</v>
      </c>
      <c r="M23" s="7" t="n">
        <v>0.0364</v>
      </c>
      <c r="N23" s="3" t="n">
        <v>230137.7549131387</v>
      </c>
      <c r="O23" s="3" t="n">
        <v>316536.5589168079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0.0364</v>
      </c>
      <c r="M24" s="7" t="n">
        <v>0.0364</v>
      </c>
      <c r="N24" s="3" t="n">
        <v>270349.3331345351</v>
      </c>
      <c r="O24" s="3" t="n">
        <v>357429.5568766494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0.0364</v>
      </c>
      <c r="M25" s="7" t="n">
        <v>0.0364</v>
      </c>
      <c r="N25" s="3" t="n">
        <v>268205.7395920433</v>
      </c>
      <c r="O25" s="3" t="n">
        <v>355043.848921884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0.0364</v>
      </c>
      <c r="M26" s="7" t="n">
        <v>0.0364</v>
      </c>
      <c r="N26" s="3" t="n">
        <v>257421.6623678546</v>
      </c>
      <c r="O26" s="3" t="n">
        <v>343950.1051185009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0.0364</v>
      </c>
      <c r="M27" s="7" t="n">
        <v>0.0364</v>
      </c>
      <c r="N27" s="3" t="n">
        <v>257936.5682490456</v>
      </c>
      <c r="O27" s="3" t="n">
        <v>346234.0604465735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0.0364</v>
      </c>
      <c r="M28" s="7" t="n">
        <v>0.0364</v>
      </c>
      <c r="N28" s="3" t="n">
        <v>259284.5021584838</v>
      </c>
      <c r="O28" s="3" t="n">
        <v>349084.5969313863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0.0364</v>
      </c>
      <c r="M29" s="7" t="n">
        <v>0.0364</v>
      </c>
      <c r="N29" s="3" t="n">
        <v>259344.8504890245</v>
      </c>
      <c r="O29" s="3" t="n">
        <v>349260.7611743588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0.0364</v>
      </c>
      <c r="M30" s="7" t="n">
        <v>0.0364</v>
      </c>
      <c r="N30" s="3" t="n">
        <v>260751.2723083108</v>
      </c>
      <c r="O30" s="3" t="n">
        <v>350477.3131338987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0.0364</v>
      </c>
      <c r="M31" s="7" t="n">
        <v>0.0364</v>
      </c>
      <c r="N31" s="3" t="n">
        <v>263248.5640892479</v>
      </c>
      <c r="O31" s="3" t="n">
        <v>353044.4068987045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0.0364</v>
      </c>
      <c r="M32" s="7" t="n">
        <v>0.0364</v>
      </c>
      <c r="N32" s="3" t="n">
        <v>265800.8756928478</v>
      </c>
      <c r="O32" s="3" t="n">
        <v>357807.094088014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0.0364</v>
      </c>
      <c r="M33" s="7" t="n">
        <v>0.0364</v>
      </c>
      <c r="N33" s="3" t="n">
        <v>267155.8503439002</v>
      </c>
      <c r="O33" s="3" t="n">
        <v>360406.5929022947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0.0364</v>
      </c>
      <c r="M34" s="7" t="n">
        <v>0.0364</v>
      </c>
      <c r="N34" s="3" t="n">
        <v>280114.3036778174</v>
      </c>
      <c r="O34" s="3" t="n">
        <v>376045.3220227016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0.0364</v>
      </c>
      <c r="M35" s="7" t="n">
        <v>0.0364</v>
      </c>
      <c r="N35" s="3" t="n">
        <v>277827.1466827744</v>
      </c>
      <c r="O35" s="3" t="n">
        <v>373979.3967086644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0.0364</v>
      </c>
      <c r="M36" s="7" t="n">
        <v>0.0364</v>
      </c>
      <c r="N36" s="3" t="n">
        <v>273847.2391476788</v>
      </c>
      <c r="O36" s="3" t="n">
        <v>368743.6809634863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7943503.129571924</v>
      </c>
      <c r="O38" s="12" t="n">
        <v>10677050.23587752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2026-06-23T21:06:41Z</dcterms:created>
  <dcterms:modified xmlns:dcterms="http://purl.org/dc/terms/" xmlns:xsi="http://www.w3.org/2001/XMLSchema-instance" xsi:type="dcterms:W3CDTF">2026-06-23T21:06:41Z</dcterms:modified>
</cp:coreProperties>
</file>