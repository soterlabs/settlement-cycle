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7503304.563027895</v>
      </c>
    </row>
    <row r="5">
      <c r="A5" t="inlineStr">
        <is>
          <t>+ agent_rate (subproxy USDS / sUSDS yield)</t>
        </is>
      </c>
      <c r="B5" s="3" t="n">
        <v>106392.5498163711</v>
      </c>
    </row>
    <row r="6">
      <c r="A6" t="inlineStr">
        <is>
          <t>+ distribution_rewards (settle-dr-dune)</t>
        </is>
      </c>
      <c r="B6" s="3" t="n">
        <v>1154488.13</v>
      </c>
    </row>
    <row r="7">
      <c r="A7" t="inlineStr"/>
      <c r="B7" s="4" t="n">
        <v>8764185.242844267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7842258.862624213</v>
      </c>
    </row>
    <row r="11">
      <c r="A11" t="inlineStr">
        <is>
          <t>+ SDE revenue (Sky-Direct, full to Sky)</t>
        </is>
      </c>
      <c r="B11" s="3" t="n">
        <v>2023.078108892489</v>
      </c>
    </row>
    <row r="12">
      <c r="A12" t="inlineStr"/>
      <c r="B12" s="4" t="n">
        <v>7844281.940733105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7842258.862624213</v>
      </c>
    </row>
    <row r="16">
      <c r="A16" t="inlineStr">
        <is>
          <t>reduction from idle/SDE deductions</t>
        </is>
      </c>
      <c r="B16" s="3" t="n">
        <v>-2854878.848816229</v>
      </c>
    </row>
    <row r="17">
      <c r="A17" t="inlineStr"/>
      <c r="B17" s="4" t="n">
        <v>10697137.71144044</v>
      </c>
    </row>
    <row r="19">
      <c r="A19" s="5" t="inlineStr">
        <is>
          <t>sUSDS spread (Curve LP + PSM3) — deducted from sky_revenue</t>
        </is>
      </c>
      <c r="B19" s="3" t="n">
        <v>121331.7425106354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7503304.563027895</v>
      </c>
    </row>
    <row r="23">
      <c r="A23" t="inlineStr">
        <is>
          <t>− CoF (deducted per-venue in display)</t>
        </is>
      </c>
      <c r="B23" s="3" t="n">
        <v>-7842258.862624213</v>
      </c>
    </row>
    <row r="24">
      <c r="A24" t="inlineStr"/>
      <c r="B24" s="4" t="n">
        <v>-1353894.227461502</v>
      </c>
    </row>
    <row r="26">
      <c r="A26" t="inlineStr">
        <is>
          <t>Period</t>
        </is>
      </c>
      <c r="B26" t="inlineStr">
        <is>
          <t>2026-01-01 → 2026-01-31 (31 days)</t>
        </is>
      </c>
    </row>
    <row r="27">
      <c r="A27" t="inlineStr">
        <is>
          <t>Pin blocks</t>
        </is>
      </c>
      <c r="B27" t="inlineStr">
        <is>
          <t>arbitrum=427315178, avalanche_c=76986991, base=41557326, ethereum=24358292, optimism=147152611, unichain=39155640</t>
        </is>
      </c>
    </row>
    <row r="28">
      <c r="A28" t="inlineStr">
        <is>
          <t>Generated</t>
        </is>
      </c>
      <c r="B28" t="inlineStr">
        <is>
          <t>2026-07-31T00:08:33+00:00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1133974.659423013</v>
      </c>
      <c r="I2" s="6" t="n">
        <v>0</v>
      </c>
      <c r="J2" s="6" t="n">
        <v>1133974.659423013</v>
      </c>
      <c r="K2" s="6" t="n">
        <v>0</v>
      </c>
      <c r="L2" s="6" t="n">
        <v>515643040.0315013</v>
      </c>
      <c r="M2" s="7" t="n">
        <v>1</v>
      </c>
      <c r="N2" s="6" t="n">
        <v>1675299.416751028</v>
      </c>
      <c r="O2" s="6" t="n">
        <v>1675299.416751028</v>
      </c>
      <c r="P2" s="6" t="n">
        <v>-541324.7573280156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-4.089e-09</v>
      </c>
      <c r="I3" s="6" t="n">
        <v>0</v>
      </c>
      <c r="J3" s="6" t="n">
        <v>-4.089e-09</v>
      </c>
      <c r="K3" s="6" t="n">
        <v>0</v>
      </c>
      <c r="L3" s="6" t="n">
        <v>478826545.1780571</v>
      </c>
      <c r="M3" s="7" t="n">
        <v>1</v>
      </c>
      <c r="N3" s="6" t="n">
        <v>1555684.397122286</v>
      </c>
      <c r="O3" s="6" t="n">
        <v>1555684.397122286</v>
      </c>
      <c r="P3" s="6" t="n">
        <v>-1555684.39712229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1090210.485768697</v>
      </c>
      <c r="O4" s="6" t="n">
        <v>1090210.485768697</v>
      </c>
      <c r="P4" s="6" t="n">
        <v>-123644.8877356971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810271.7561367188</v>
      </c>
      <c r="O5" s="6" t="n">
        <v>810271.7561367188</v>
      </c>
      <c r="P5" s="6" t="n">
        <v>87120.32340140735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850905.4612414278</v>
      </c>
      <c r="I6" s="6" t="n">
        <v>0</v>
      </c>
      <c r="J6" s="6" t="n">
        <v>850905.4612414278</v>
      </c>
      <c r="K6" s="6" t="n">
        <v>0</v>
      </c>
      <c r="L6" s="6" t="n">
        <v>189794075.6409658</v>
      </c>
      <c r="M6" s="7" t="n">
        <v>1</v>
      </c>
      <c r="N6" s="6" t="n">
        <v>616631.8160809187</v>
      </c>
      <c r="O6" s="6" t="n">
        <v>616631.8160809187</v>
      </c>
      <c r="P6" s="6" t="n">
        <v>234273.6451605092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238689.828337</v>
      </c>
      <c r="I7" s="6" t="n">
        <v>0</v>
      </c>
      <c r="J7" s="6" t="n">
        <v>238689.828337</v>
      </c>
      <c r="K7" s="6" t="n">
        <v>0</v>
      </c>
      <c r="L7" s="6" t="n">
        <v>142947138.0437977</v>
      </c>
      <c r="M7" s="7" t="n">
        <v>1</v>
      </c>
      <c r="N7" s="6" t="n">
        <v>464428.370789942</v>
      </c>
      <c r="O7" s="6" t="n">
        <v>464428.370789942</v>
      </c>
      <c r="P7" s="6" t="n">
        <v>-225738.5424529421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324895.7600505752</v>
      </c>
      <c r="O8" s="6" t="n">
        <v>324895.7600505752</v>
      </c>
      <c r="P8" s="6" t="n">
        <v>-317464.1014673621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306889.8462253413</v>
      </c>
      <c r="O9" s="6" t="n">
        <v>306889.8462253413</v>
      </c>
      <c r="P9" s="6" t="n">
        <v>151388.6643284167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253276.0568678948</v>
      </c>
      <c r="I10" s="6" t="n">
        <v>0</v>
      </c>
      <c r="J10" s="6" t="n">
        <v>253276.0568678948</v>
      </c>
      <c r="K10" s="6" t="n">
        <v>0</v>
      </c>
      <c r="L10" s="6" t="n">
        <v>82302337.13128559</v>
      </c>
      <c r="M10" s="7" t="n">
        <v>1</v>
      </c>
      <c r="N10" s="6" t="n">
        <v>267396.3317431103</v>
      </c>
      <c r="O10" s="6" t="n">
        <v>246457.453799984</v>
      </c>
      <c r="P10" s="6" t="n">
        <v>-14120.27487521556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249678.5924484764</v>
      </c>
      <c r="I11" s="6" t="n">
        <v>0</v>
      </c>
      <c r="J11" s="6" t="n">
        <v>249678.5924484764</v>
      </c>
      <c r="K11" s="6" t="n">
        <v>0</v>
      </c>
      <c r="L11" s="6" t="n">
        <v>74829605.8002511</v>
      </c>
      <c r="M11" s="7" t="n">
        <v>1</v>
      </c>
      <c r="N11" s="6" t="n">
        <v>243117.7873460902</v>
      </c>
      <c r="O11" s="6" t="n">
        <v>224080.0778836683</v>
      </c>
      <c r="P11" s="6" t="n">
        <v>6560.805102386238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218121.4647920985</v>
      </c>
      <c r="I12" s="6" t="n">
        <v>0</v>
      </c>
      <c r="J12" s="6" t="n">
        <v>218121.4647920985</v>
      </c>
      <c r="K12" s="6" t="n">
        <v>0</v>
      </c>
      <c r="L12" s="6" t="n">
        <v>48672080.32484919</v>
      </c>
      <c r="M12" s="7" t="n">
        <v>1</v>
      </c>
      <c r="N12" s="6" t="n">
        <v>158133.2461605564</v>
      </c>
      <c r="O12" s="6" t="n">
        <v>158133.2461605564</v>
      </c>
      <c r="P12" s="6" t="n">
        <v>59988.21863154207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145492.432134</v>
      </c>
      <c r="I13" s="6" t="n">
        <v>0</v>
      </c>
      <c r="J13" s="6" t="n">
        <v>145492.432134</v>
      </c>
      <c r="K13" s="6" t="n">
        <v>0</v>
      </c>
      <c r="L13" s="6" t="n">
        <v>43188250.13840726</v>
      </c>
      <c r="M13" s="7" t="n">
        <v>1</v>
      </c>
      <c r="N13" s="6" t="n">
        <v>140316.5458472028</v>
      </c>
      <c r="O13" s="6" t="n">
        <v>140316.5458472028</v>
      </c>
      <c r="P13" s="6" t="n">
        <v>5175.886286797172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132270.8635847951</v>
      </c>
      <c r="I14" s="6" t="n">
        <v>0</v>
      </c>
      <c r="J14" s="6" t="n">
        <v>132270.8635847951</v>
      </c>
      <c r="K14" s="6" t="n">
        <v>0</v>
      </c>
      <c r="L14" s="6" t="n">
        <v>42907533.96338371</v>
      </c>
      <c r="M14" s="7" t="n">
        <v>1</v>
      </c>
      <c r="N14" s="6" t="n">
        <v>139404.5125067338</v>
      </c>
      <c r="O14" s="6" t="n">
        <v>128488.2293510479</v>
      </c>
      <c r="P14" s="6" t="n">
        <v>-7133.648921938692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48812.35222440385</v>
      </c>
      <c r="O16" s="6" t="n">
        <v>48812.35222440385</v>
      </c>
      <c r="P16" s="6" t="n">
        <v>33802.28968159955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31596.950879</v>
      </c>
      <c r="I17" s="6" t="n">
        <v>0</v>
      </c>
      <c r="J17" s="6" t="n">
        <v>31596.950879</v>
      </c>
      <c r="K17" s="6" t="n">
        <v>0</v>
      </c>
      <c r="L17" s="6" t="n">
        <v>9999435.801523969</v>
      </c>
      <c r="M17" s="7" t="n">
        <v>1</v>
      </c>
      <c r="N17" s="6" t="n">
        <v>32487.68559953616</v>
      </c>
      <c r="O17" s="6" t="n">
        <v>32487.68559953616</v>
      </c>
      <c r="P17" s="6" t="n">
        <v>-890.734720536163</v>
      </c>
      <c r="Q17" s="6" t="n">
        <v>0</v>
      </c>
      <c r="R17" s="6" t="n">
        <v>0</v>
      </c>
      <c r="S17" t="inlineStr"/>
    </row>
    <row r="18">
      <c r="A18" t="inlineStr">
        <is>
          <t>S10</t>
        </is>
      </c>
      <c r="B18" t="inlineStr">
        <is>
          <t>Spark Blue Chip USDC Vault (Morpho)</t>
        </is>
      </c>
      <c r="C18" t="inlineStr">
        <is>
          <t>ethereum</t>
        </is>
      </c>
      <c r="D18" t="inlineStr">
        <is>
          <t>B</t>
        </is>
      </c>
      <c r="E18" s="6" t="n">
        <v>10124757.36060807</v>
      </c>
      <c r="F18" s="6" t="n">
        <v>976334.4376037563</v>
      </c>
      <c r="G18" s="6" t="n">
        <v>-9148422.923004312</v>
      </c>
      <c r="H18" s="6" t="n">
        <v>22913.63278708834</v>
      </c>
      <c r="I18" s="6" t="n">
        <v>0</v>
      </c>
      <c r="J18" s="6" t="n">
        <v>22913.63278708834</v>
      </c>
      <c r="K18" s="6" t="n">
        <v>0</v>
      </c>
      <c r="L18" s="6" t="n">
        <v>6870535.567559426</v>
      </c>
      <c r="M18" s="7" t="n">
        <v>1</v>
      </c>
      <c r="N18" s="6" t="n">
        <v>22322.03934798834</v>
      </c>
      <c r="O18" s="6" t="n">
        <v>22322.03934798834</v>
      </c>
      <c r="P18" s="6" t="n">
        <v>591.5934390999982</v>
      </c>
      <c r="Q18" s="6" t="n">
        <v>0</v>
      </c>
      <c r="R18" s="6" t="n">
        <v>0</v>
      </c>
      <c r="S18" t="inlineStr"/>
    </row>
    <row r="19">
      <c r="A19" t="inlineStr">
        <is>
          <t>S49</t>
        </is>
      </c>
      <c r="B19" t="inlineStr">
        <is>
          <t>USDC raw (Optimism — ALM idle)</t>
        </is>
      </c>
      <c r="C19" t="inlineStr">
        <is>
          <t>optimism</t>
        </is>
      </c>
      <c r="D19" t="inlineStr">
        <is>
          <t>A</t>
        </is>
      </c>
      <c r="E19" s="6" t="n">
        <v>5000000</v>
      </c>
      <c r="F19" s="6" t="n">
        <v>5000000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5000000</v>
      </c>
      <c r="M19" s="7" t="n">
        <v>1</v>
      </c>
      <c r="N19" s="6" t="n">
        <v>16244.75932661364</v>
      </c>
      <c r="O19" s="6" t="n">
        <v>16244.75932661364</v>
      </c>
      <c r="P19" s="6" t="n">
        <v>-16244.75932661364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5000000</v>
      </c>
      <c r="M20" s="7" t="n">
        <v>1</v>
      </c>
      <c r="N20" s="6" t="n">
        <v>16244.75932661364</v>
      </c>
      <c r="O20" s="6" t="n">
        <v>16244.75932661364</v>
      </c>
      <c r="P20" s="6" t="n">
        <v>-16244.75932661364</v>
      </c>
      <c r="Q20" s="6" t="n">
        <v>0</v>
      </c>
      <c r="R20" s="6" t="n">
        <v>0</v>
      </c>
      <c r="S20" t="inlineStr"/>
    </row>
    <row r="21">
      <c r="A21" t="inlineStr">
        <is>
          <t>S45</t>
        </is>
      </c>
      <c r="B21" t="inlineStr">
        <is>
          <t>USDC raw (Arbitrum — ALM idle)</t>
        </is>
      </c>
      <c r="C21" t="inlineStr">
        <is>
          <t>arbitrum</t>
        </is>
      </c>
      <c r="D21" t="inlineStr">
        <is>
          <t>A</t>
        </is>
      </c>
      <c r="E21" s="6" t="n">
        <v>5000000</v>
      </c>
      <c r="F21" s="6" t="n">
        <v>4994817.315553</v>
      </c>
      <c r="G21" s="6" t="n">
        <v>-5182.684447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4999832.816630742</v>
      </c>
      <c r="M21" s="7" t="n">
        <v>1</v>
      </c>
      <c r="N21" s="6" t="n">
        <v>16244.21615589424</v>
      </c>
      <c r="O21" s="6" t="n">
        <v>16244.21615589424</v>
      </c>
      <c r="P21" s="6" t="n">
        <v>-16244.21615589424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4732058.263226</v>
      </c>
      <c r="F22" s="6" t="n">
        <v>4979093.435761</v>
      </c>
      <c r="G22" s="6" t="n">
        <v>247035.172535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4740027.139759387</v>
      </c>
      <c r="M22" s="7" t="n">
        <v>1</v>
      </c>
      <c r="N22" s="6" t="n">
        <v>15400.12001740162</v>
      </c>
      <c r="O22" s="6" t="n">
        <v>15400.12001740162</v>
      </c>
      <c r="P22" s="6" t="n">
        <v>-15400.12001740162</v>
      </c>
      <c r="Q22" s="6" t="n">
        <v>0</v>
      </c>
      <c r="R22" s="6" t="n">
        <v>0</v>
      </c>
      <c r="S22" t="inlineStr"/>
    </row>
    <row r="23">
      <c r="A23" t="inlineStr">
        <is>
          <t>S51</t>
        </is>
      </c>
      <c r="B23" t="inlineStr">
        <is>
          <t>Savings USDS / sUSDS proxy (Unichain — POL)</t>
        </is>
      </c>
      <c r="C23" t="inlineStr">
        <is>
          <t>unichain</t>
        </is>
      </c>
      <c r="D23" t="inlineStr">
        <is>
          <t>B</t>
        </is>
      </c>
      <c r="E23" s="6" t="n">
        <v>970178.1267029551</v>
      </c>
      <c r="F23" s="6" t="n">
        <v>973415.2506528809</v>
      </c>
      <c r="G23" s="6" t="n">
        <v>3237.123949925721</v>
      </c>
      <c r="H23" s="6" t="n">
        <v>3237.123949925721</v>
      </c>
      <c r="I23" s="6" t="n">
        <v>0</v>
      </c>
      <c r="J23" s="6" t="n">
        <v>3237.123949925721</v>
      </c>
      <c r="K23" s="6" t="n">
        <v>0</v>
      </c>
      <c r="L23" s="6" t="n">
        <v>970178.1267029551</v>
      </c>
      <c r="M23" s="7" t="n">
        <v>1</v>
      </c>
      <c r="N23" s="6" t="n">
        <v>3152.062034446876</v>
      </c>
      <c r="O23" s="6" t="n">
        <v>2905.2350051522</v>
      </c>
      <c r="P23" s="6" t="n">
        <v>85.06191547884529</v>
      </c>
      <c r="Q23" s="6" t="n">
        <v>0</v>
      </c>
      <c r="R23" s="6" t="n">
        <v>246.8270292946761</v>
      </c>
      <c r="S23" t="inlineStr"/>
    </row>
    <row r="24">
      <c r="A24" t="inlineStr">
        <is>
          <t>S24</t>
        </is>
      </c>
      <c r="B24" t="inlineStr">
        <is>
          <t>Spark.fi USDT Reserve Curve (sUSDS/USDT)</t>
        </is>
      </c>
      <c r="C24" t="inlineStr">
        <is>
          <t>ethereum</t>
        </is>
      </c>
      <c r="D24" t="inlineStr">
        <is>
          <t>F</t>
        </is>
      </c>
      <c r="E24" s="6" t="n">
        <v>50000864.48440416</v>
      </c>
      <c r="F24" s="6" t="n">
        <v>49999911.74966041</v>
      </c>
      <c r="G24" s="6" t="n">
        <v>-952.7347437553233</v>
      </c>
      <c r="H24" s="6" t="n">
        <v>2023.078108892489</v>
      </c>
      <c r="I24" s="6" t="n">
        <v>25473.95499161</v>
      </c>
      <c r="J24" s="6" t="n">
        <v>25473.95499161</v>
      </c>
      <c r="K24" s="6" t="n">
        <v>2023.078108892489</v>
      </c>
      <c r="L24" s="6" t="n">
        <v>49999946.74995758</v>
      </c>
      <c r="M24" s="7" t="n">
        <v>0</v>
      </c>
      <c r="N24" s="6" t="n">
        <v>0</v>
      </c>
      <c r="O24" s="6" t="n">
        <v>2023.078108892489</v>
      </c>
      <c r="P24" s="6" t="n">
        <v>25473.95499161</v>
      </c>
      <c r="Q24" s="6" t="n">
        <v>49999946.74995758</v>
      </c>
      <c r="R24" s="6" t="n">
        <v>0</v>
      </c>
      <c r="S24" t="inlineStr">
        <is>
          <t>SDE (fixed)</t>
        </is>
      </c>
    </row>
    <row r="25">
      <c r="A25" t="inlineStr">
        <is>
          <t>S12</t>
        </is>
      </c>
      <c r="B25" t="inlineStr">
        <is>
          <t>Spark DAI Vault (Morpho)</t>
        </is>
      </c>
      <c r="C25" t="inlineStr">
        <is>
          <t>ethereum</t>
        </is>
      </c>
      <c r="D25" t="inlineStr">
        <is>
          <t>B</t>
        </is>
      </c>
      <c r="E25" s="6" t="n">
        <v>286.4890802084861</v>
      </c>
      <c r="F25" s="6" t="n">
        <v>332.9212943539781</v>
      </c>
      <c r="G25" s="6" t="n">
        <v>46.432214145492</v>
      </c>
      <c r="H25" s="6" t="n">
        <v>2.378383224018197</v>
      </c>
      <c r="I25" s="6" t="n">
        <v>0</v>
      </c>
      <c r="J25" s="6" t="n">
        <v>2.378383224018197</v>
      </c>
      <c r="K25" s="6" t="n">
        <v>0</v>
      </c>
      <c r="L25" s="6" t="n">
        <v>314.5978487958594</v>
      </c>
      <c r="M25" s="7" t="n">
        <v>1</v>
      </c>
      <c r="N25" s="6" t="n">
        <v>1.022113267671825</v>
      </c>
      <c r="O25" s="6" t="n">
        <v>1.022113267671825</v>
      </c>
      <c r="P25" s="6" t="n">
        <v>1.356269956346372</v>
      </c>
      <c r="Q25" s="6" t="n">
        <v>0</v>
      </c>
      <c r="R25" s="6" t="n">
        <v>0</v>
      </c>
      <c r="S25" t="inlineStr"/>
    </row>
    <row r="26">
      <c r="A26" t="inlineStr">
        <is>
          <t>S36</t>
        </is>
      </c>
      <c r="B26" t="inlineStr">
        <is>
          <t>Fluid Savings USDS (fsUSDS, Base)</t>
        </is>
      </c>
      <c r="C26" t="inlineStr">
        <is>
          <t>base</t>
        </is>
      </c>
      <c r="D26" t="inlineStr">
        <is>
          <t>B</t>
        </is>
      </c>
      <c r="E26" s="6" t="n">
        <v>283.8972488542868</v>
      </c>
      <c r="F26" s="6" t="n">
        <v>283.8972488542868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  <c r="L26" s="6" t="n">
        <v>283.8972488542868</v>
      </c>
      <c r="M26" s="7" t="n">
        <v>1</v>
      </c>
      <c r="N26" s="6" t="n">
        <v>0.9223684962251258</v>
      </c>
      <c r="O26" s="6" t="n">
        <v>0.9223684962251258</v>
      </c>
      <c r="P26" s="6" t="n">
        <v>-0.9223684962251258</v>
      </c>
      <c r="Q26" s="6" t="n">
        <v>0</v>
      </c>
      <c r="R26" s="6" t="n">
        <v>0</v>
      </c>
      <c r="S26" t="inlineStr"/>
    </row>
    <row r="27">
      <c r="A27" t="inlineStr">
        <is>
          <t>S16</t>
        </is>
      </c>
      <c r="B27" t="inlineStr">
        <is>
          <t>Ethena Staked USDe (sUSDe)</t>
        </is>
      </c>
      <c r="C27" t="inlineStr">
        <is>
          <t>ethereum</t>
        </is>
      </c>
      <c r="D27" t="inlineStr">
        <is>
          <t>B</t>
        </is>
      </c>
      <c r="E27" s="6" t="n">
        <v>98.2186939487863</v>
      </c>
      <c r="F27" s="6" t="n">
        <v>98.60727406618892</v>
      </c>
      <c r="G27" s="6" t="n">
        <v>0.3885801174026364</v>
      </c>
      <c r="H27" s="6" t="n">
        <v>0.3885801174026364</v>
      </c>
      <c r="I27" s="6" t="n">
        <v>0</v>
      </c>
      <c r="J27" s="6" t="n">
        <v>0.3885801174026364</v>
      </c>
      <c r="K27" s="6" t="n">
        <v>0</v>
      </c>
      <c r="L27" s="6" t="n">
        <v>98.2186939487863</v>
      </c>
      <c r="M27" s="7" t="n">
        <v>1</v>
      </c>
      <c r="N27" s="6" t="n">
        <v>0.3191078089144714</v>
      </c>
      <c r="O27" s="6" t="n">
        <v>0.3191078089144714</v>
      </c>
      <c r="P27" s="6" t="n">
        <v>0.06947230848816505</v>
      </c>
      <c r="Q27" s="6" t="n">
        <v>0</v>
      </c>
      <c r="R27" s="6" t="n">
        <v>0</v>
      </c>
      <c r="S27" t="inlineStr"/>
    </row>
    <row r="28">
      <c r="A28" t="inlineStr">
        <is>
          <t>S13</t>
        </is>
      </c>
      <c r="B28" t="inlineStr">
        <is>
          <t>Spark USDS Vault (Morpho)</t>
        </is>
      </c>
      <c r="C28" t="inlineStr">
        <is>
          <t>ethereum</t>
        </is>
      </c>
      <c r="D28" t="inlineStr">
        <is>
          <t>B</t>
        </is>
      </c>
      <c r="E28" s="6" t="n">
        <v>21.8939178481358</v>
      </c>
      <c r="F28" s="6" t="n">
        <v>21.90604334087989</v>
      </c>
      <c r="G28" s="6" t="n">
        <v>0.01212549274409835</v>
      </c>
      <c r="H28" s="6" t="n">
        <v>0.000970031078014375</v>
      </c>
      <c r="I28" s="6" t="n">
        <v>0</v>
      </c>
      <c r="J28" s="6" t="n">
        <v>0.000970031078014375</v>
      </c>
      <c r="K28" s="6" t="n">
        <v>0</v>
      </c>
      <c r="L28" s="6" t="n">
        <v>21.89559878438257</v>
      </c>
      <c r="M28" s="7" t="n">
        <v>1</v>
      </c>
      <c r="N28" s="6" t="n">
        <v>0.0711377465128778</v>
      </c>
      <c r="O28" s="6" t="n">
        <v>0.0711377465128778</v>
      </c>
      <c r="P28" s="6" t="n">
        <v>-0.07016771543486343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1.111098</v>
      </c>
      <c r="F29" s="6" t="n">
        <v>1.210584</v>
      </c>
      <c r="G29" s="6" t="n">
        <v>0.099486</v>
      </c>
      <c r="H29" s="6" t="n">
        <v>0.099486</v>
      </c>
      <c r="I29" s="6" t="n">
        <v>0</v>
      </c>
      <c r="J29" s="6" t="n">
        <v>0.099486</v>
      </c>
      <c r="K29" s="6" t="n">
        <v>0</v>
      </c>
      <c r="L29" s="6" t="n">
        <v>1.111098</v>
      </c>
      <c r="M29" s="7" t="n">
        <v>1</v>
      </c>
      <c r="N29" s="6" t="n">
        <v>0.003609903919656353</v>
      </c>
      <c r="O29" s="6" t="n">
        <v>0.003609903919656353</v>
      </c>
      <c r="P29" s="6" t="n">
        <v>0.09587609608034364</v>
      </c>
      <c r="Q29" s="6" t="n">
        <v>0</v>
      </c>
      <c r="R29" s="6" t="n">
        <v>0</v>
      </c>
      <c r="S29" t="inlineStr"/>
    </row>
    <row r="30">
      <c r="A30" t="inlineStr">
        <is>
          <t>S8</t>
        </is>
      </c>
      <c r="B30" t="inlineStr">
        <is>
          <t>Aave Ethereum USDC (aToken)</t>
        </is>
      </c>
      <c r="C30" t="inlineStr">
        <is>
          <t>ethereum</t>
        </is>
      </c>
      <c r="D30" t="inlineStr">
        <is>
          <t>C</t>
        </is>
      </c>
      <c r="E30" s="6" t="n">
        <v>0.057177</v>
      </c>
      <c r="F30" s="6" t="n">
        <v>0.057354</v>
      </c>
      <c r="G30" s="6" t="n">
        <v>0.000177</v>
      </c>
      <c r="H30" s="6" t="n">
        <v>0.000177</v>
      </c>
      <c r="I30" s="6" t="n">
        <v>0</v>
      </c>
      <c r="J30" s="6" t="n">
        <v>0.000177</v>
      </c>
      <c r="K30" s="6" t="n">
        <v>0</v>
      </c>
      <c r="L30" s="6" t="n">
        <v>0.057177</v>
      </c>
      <c r="M30" s="7" t="n">
        <v>1</v>
      </c>
      <c r="N30" s="6" t="n">
        <v>0.0001857653208035576</v>
      </c>
      <c r="O30" s="6" t="n">
        <v>0.0001857653208035576</v>
      </c>
      <c r="P30" s="6" t="n">
        <v>-8.765320803557621e-06</v>
      </c>
      <c r="Q30" s="6" t="n">
        <v>0</v>
      </c>
      <c r="R30" s="6" t="n">
        <v>0</v>
      </c>
      <c r="S30" t="inlineStr"/>
    </row>
    <row r="31">
      <c r="A31" t="inlineStr">
        <is>
          <t>S41</t>
        </is>
      </c>
      <c r="B31" t="inlineStr">
        <is>
          <t>Aave Arbitrum USDCn (aArbUSDCn)</t>
        </is>
      </c>
      <c r="C31" t="inlineStr">
        <is>
          <t>arbitrum</t>
        </is>
      </c>
      <c r="D31" t="inlineStr">
        <is>
          <t>C</t>
        </is>
      </c>
      <c r="E31" s="6" t="n">
        <v>0.006294</v>
      </c>
      <c r="F31" s="6" t="n">
        <v>0.00631</v>
      </c>
      <c r="G31" s="6" t="n">
        <v>1.6e-05</v>
      </c>
      <c r="H31" s="6" t="n">
        <v>1.6e-05</v>
      </c>
      <c r="I31" s="6" t="n">
        <v>0</v>
      </c>
      <c r="J31" s="6" t="n">
        <v>1.6e-05</v>
      </c>
      <c r="K31" s="6" t="n">
        <v>0</v>
      </c>
      <c r="L31" s="6" t="n">
        <v>0.006294</v>
      </c>
      <c r="M31" s="7" t="n">
        <v>1</v>
      </c>
      <c r="N31" s="6" t="n">
        <v>2.044890304034125e-05</v>
      </c>
      <c r="O31" s="6" t="n">
        <v>2.044890304034125e-05</v>
      </c>
      <c r="P31" s="6" t="n">
        <v>-4.44890304034125e-06</v>
      </c>
      <c r="Q31" s="6" t="n">
        <v>0</v>
      </c>
      <c r="R31" s="6" t="n">
        <v>0</v>
      </c>
      <c r="S31" t="inlineStr"/>
    </row>
    <row r="32">
      <c r="A32" t="inlineStr">
        <is>
          <t>S7</t>
        </is>
      </c>
      <c r="B32" t="inlineStr">
        <is>
          <t>Aave Ethereum USDS (aToken)</t>
        </is>
      </c>
      <c r="C32" t="inlineStr">
        <is>
          <t>ethereum</t>
        </is>
      </c>
      <c r="D32" t="inlineStr">
        <is>
          <t>C</t>
        </is>
      </c>
      <c r="E32" s="6" t="n">
        <v>0.005735356645015577</v>
      </c>
      <c r="F32" s="6" t="n">
        <v>0.005739369858543872</v>
      </c>
      <c r="G32" s="6" t="n">
        <v>4.013213528295e-06</v>
      </c>
      <c r="H32" s="6" t="n">
        <v>4.013213528295e-06</v>
      </c>
      <c r="I32" s="6" t="n">
        <v>0</v>
      </c>
      <c r="J32" s="6" t="n">
        <v>4.013213528295e-06</v>
      </c>
      <c r="K32" s="6" t="n">
        <v>0</v>
      </c>
      <c r="L32" s="6" t="n">
        <v>0.005735356645015577</v>
      </c>
      <c r="M32" s="7" t="n">
        <v>1</v>
      </c>
      <c r="N32" s="6" t="n">
        <v>1.863389767011446e-05</v>
      </c>
      <c r="O32" s="6" t="n">
        <v>1.863389767011446e-05</v>
      </c>
      <c r="P32" s="6" t="n">
        <v>-1.462068414181946e-05</v>
      </c>
      <c r="Q32" s="6" t="n">
        <v>0</v>
      </c>
      <c r="R32" s="6" t="n">
        <v>0</v>
      </c>
      <c r="S32" t="inlineStr"/>
    </row>
    <row r="33">
      <c r="A33" t="inlineStr">
        <is>
          <t>S35</t>
        </is>
      </c>
      <c r="B33" t="inlineStr">
        <is>
          <t>Aave Base USDC (aBasUSDC)</t>
        </is>
      </c>
      <c r="C33" t="inlineStr">
        <is>
          <t>base</t>
        </is>
      </c>
      <c r="D33" t="inlineStr">
        <is>
          <t>C</t>
        </is>
      </c>
      <c r="E33" s="6" t="n">
        <v>0.001682</v>
      </c>
      <c r="F33" s="6" t="n">
        <v>0.001688</v>
      </c>
      <c r="G33" s="6" t="n">
        <v>6e-06</v>
      </c>
      <c r="H33" s="6" t="n">
        <v>6e-06</v>
      </c>
      <c r="I33" s="6" t="n">
        <v>0</v>
      </c>
      <c r="J33" s="6" t="n">
        <v>6e-06</v>
      </c>
      <c r="K33" s="6" t="n">
        <v>0</v>
      </c>
      <c r="L33" s="6" t="n">
        <v>0.001682</v>
      </c>
      <c r="M33" s="7" t="n">
        <v>1</v>
      </c>
      <c r="N33" s="6" t="n">
        <v>5.464737037472828e-06</v>
      </c>
      <c r="O33" s="6" t="n">
        <v>5.464737037472828e-06</v>
      </c>
      <c r="P33" s="6" t="n">
        <v>5.352629625271715e-07</v>
      </c>
      <c r="Q33" s="6" t="n">
        <v>0</v>
      </c>
      <c r="R33" s="6" t="n">
        <v>0</v>
      </c>
      <c r="S33" t="inlineStr"/>
    </row>
    <row r="34">
      <c r="A34" t="inlineStr">
        <is>
          <t>S17</t>
        </is>
      </c>
      <c r="B34" t="inlineStr">
        <is>
          <t>Fluid Savings USDS (fsUSDS)</t>
        </is>
      </c>
      <c r="C34" t="inlineStr">
        <is>
          <t>ethereum</t>
        </is>
      </c>
      <c r="D34" t="inlineStr">
        <is>
          <t>B</t>
        </is>
      </c>
      <c r="E34" s="6" t="n">
        <v>0.001240144670509943</v>
      </c>
      <c r="F34" s="6" t="n">
        <v>0.001240144670509943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  <c r="L34" s="6" t="n">
        <v>0.001240144670509943</v>
      </c>
      <c r="M34" s="7" t="n">
        <v>1</v>
      </c>
      <c r="N34" s="6" t="n">
        <v>4.02917034052332e-06</v>
      </c>
      <c r="O34" s="6" t="n">
        <v>4.02917034052332e-06</v>
      </c>
      <c r="P34" s="6" t="n">
        <v>-4.02917034052332e-06</v>
      </c>
      <c r="Q34" s="6" t="n">
        <v>0</v>
      </c>
      <c r="R34" s="6" t="n">
        <v>0</v>
      </c>
      <c r="S34" t="inlineStr"/>
    </row>
    <row r="35">
      <c r="A35" t="inlineStr">
        <is>
          <t>S6</t>
        </is>
      </c>
      <c r="B35" t="inlineStr">
        <is>
          <t>Aave Ethereum Lido USDS (aToken)</t>
        </is>
      </c>
      <c r="C35" t="inlineStr">
        <is>
          <t>ethereum</t>
        </is>
      </c>
      <c r="D35" t="inlineStr">
        <is>
          <t>C</t>
        </is>
      </c>
      <c r="E35" s="6" t="n">
        <v>0.000281702874169182</v>
      </c>
      <c r="F35" s="6" t="n">
        <v>0.000518423030497757</v>
      </c>
      <c r="G35" s="6" t="n">
        <v>0.000236720156328575</v>
      </c>
      <c r="H35" s="6" t="n">
        <v>4.89352007537e-07</v>
      </c>
      <c r="I35" s="6" t="n">
        <v>0</v>
      </c>
      <c r="J35" s="6" t="n">
        <v>4.89352007537e-07</v>
      </c>
      <c r="K35" s="6" t="n">
        <v>0</v>
      </c>
      <c r="L35" s="6" t="n">
        <v>0.0002893232226956671</v>
      </c>
      <c r="M35" s="7" t="n">
        <v>1</v>
      </c>
      <c r="N35" s="6" t="n">
        <v>9.399972240582707e-07</v>
      </c>
      <c r="O35" s="6" t="n">
        <v>9.399972240582707e-07</v>
      </c>
      <c r="P35" s="6" t="n">
        <v>-4.506452165212707e-07</v>
      </c>
      <c r="Q35" s="6" t="n">
        <v>0</v>
      </c>
      <c r="R35" s="6" t="n">
        <v>0</v>
      </c>
      <c r="S35" t="inlineStr"/>
    </row>
    <row r="36">
      <c r="A36" t="inlineStr">
        <is>
          <t>S30</t>
        </is>
      </c>
      <c r="B36" t="inlineStr">
        <is>
          <t>USDe raw (ALM idle)</t>
        </is>
      </c>
      <c r="C36" t="inlineStr">
        <is>
          <t>ethereum</t>
        </is>
      </c>
      <c r="D36" t="inlineStr">
        <is>
          <t>A</t>
        </is>
      </c>
      <c r="E36" s="6" t="n">
        <v>7.4896275897803e-05</v>
      </c>
      <c r="F36" s="6" t="n">
        <v>7.4896275897803e-05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7.4896275897803e-05</v>
      </c>
      <c r="M36" s="7" t="n">
        <v>1</v>
      </c>
      <c r="N36" s="6" t="n">
        <v>2.433343952838927e-07</v>
      </c>
      <c r="O36" s="6" t="n">
        <v>2.433343952838927e-07</v>
      </c>
      <c r="P36" s="6" t="n">
        <v>-2.433343952838927e-07</v>
      </c>
      <c r="Q36" s="6" t="n">
        <v>0</v>
      </c>
      <c r="R36" s="6" t="n">
        <v>0</v>
      </c>
      <c r="S36" t="inlineStr"/>
    </row>
    <row r="37">
      <c r="A37" t="inlineStr">
        <is>
          <t>S9</t>
        </is>
      </c>
      <c r="B37" t="inlineStr">
        <is>
          <t>Aave Ethereum USDT (aToken)</t>
        </is>
      </c>
      <c r="C37" t="inlineStr">
        <is>
          <t>ethereum</t>
        </is>
      </c>
      <c r="D37" t="inlineStr">
        <is>
          <t>C</t>
        </is>
      </c>
      <c r="E37" s="6" t="n">
        <v>0</v>
      </c>
      <c r="F37" s="6" t="n">
        <v>0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</v>
      </c>
      <c r="M37" s="7" t="n">
        <v>1</v>
      </c>
      <c r="N37" s="6" t="n">
        <v>0</v>
      </c>
      <c r="O37" s="6" t="n">
        <v>0</v>
      </c>
      <c r="P37" s="6" t="n">
        <v>0</v>
      </c>
      <c r="Q37" s="6" t="n">
        <v>0</v>
      </c>
      <c r="R37" s="6" t="n">
        <v>0</v>
      </c>
      <c r="S37" t="inlineStr"/>
    </row>
    <row r="38">
      <c r="A38" t="inlineStr">
        <is>
          <t>S11</t>
        </is>
      </c>
      <c r="B38" t="inlineStr">
        <is>
          <t>Spark Blue Chip USDT Vault (Morpho V2)</t>
        </is>
      </c>
      <c r="C38" t="inlineStr">
        <is>
          <t>ethereum</t>
        </is>
      </c>
      <c r="D38" t="inlineStr">
        <is>
          <t>B</t>
        </is>
      </c>
      <c r="E38" s="6" t="n">
        <v>0</v>
      </c>
      <c r="F38" s="6" t="n">
        <v>0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0</v>
      </c>
      <c r="M38" s="7" t="n">
        <v>1</v>
      </c>
      <c r="N38" s="6" t="n">
        <v>0</v>
      </c>
      <c r="O38" s="6" t="n">
        <v>0</v>
      </c>
      <c r="P38" s="6" t="n">
        <v>0</v>
      </c>
      <c r="Q38" s="6" t="n">
        <v>0</v>
      </c>
      <c r="R38" s="6" t="n">
        <v>0</v>
      </c>
      <c r="S38" t="inlineStr"/>
    </row>
    <row r="39">
      <c r="A39" t="inlineStr">
        <is>
          <t>S15</t>
        </is>
      </c>
      <c r="B39" t="inlineStr">
        <is>
          <t>Maple syrupUSDT (ERC-4626)</t>
        </is>
      </c>
      <c r="C39" t="inlineStr">
        <is>
          <t>ethereum</t>
        </is>
      </c>
      <c r="D39" t="inlineStr">
        <is>
          <t>B</t>
        </is>
      </c>
      <c r="E39" s="6" t="n">
        <v>0</v>
      </c>
      <c r="F39" s="6" t="n">
        <v>0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</v>
      </c>
      <c r="M39" s="7" t="n">
        <v>1</v>
      </c>
      <c r="N39" s="6" t="n">
        <v>0</v>
      </c>
      <c r="O39" s="6" t="n">
        <v>0</v>
      </c>
      <c r="P39" s="6" t="n">
        <v>0</v>
      </c>
      <c r="Q39" s="6" t="n">
        <v>0</v>
      </c>
      <c r="R39" s="6" t="n">
        <v>0</v>
      </c>
      <c r="S39" t="inlineStr"/>
    </row>
    <row r="40">
      <c r="A40" t="inlineStr">
        <is>
          <t>S19</t>
        </is>
      </c>
      <c r="B40" t="inlineStr">
        <is>
          <t>BlackRock USD Institutional Digital Liquidity Fund (BUIDL-I)</t>
        </is>
      </c>
      <c r="C40" t="inlineStr">
        <is>
          <t>ethereum</t>
        </is>
      </c>
      <c r="D40" t="inlineStr">
        <is>
          <t>E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S20</t>
        </is>
      </c>
      <c r="B41" t="inlineStr">
        <is>
          <t>Janus Henderson Anemoy Treasury Fund (JTRSY)</t>
        </is>
      </c>
      <c r="C41" t="inlineStr">
        <is>
          <t>ethereum</t>
        </is>
      </c>
      <c r="D41" t="inlineStr">
        <is>
          <t>E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S21</t>
        </is>
      </c>
      <c r="B42" t="inlineStr">
        <is>
          <t>Superstate Short Duration US Government Securities Fund (USTB)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0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>
        <is>
          <t>SDE (fixed)</t>
        </is>
      </c>
    </row>
    <row r="43">
      <c r="A43" t="inlineStr">
        <is>
          <t>S22</t>
        </is>
      </c>
      <c r="B43" t="inlineStr">
        <is>
          <t>Superstate Crypto Carry Fund (USCC)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S61</t>
        </is>
      </c>
      <c r="B44" t="inlineStr">
        <is>
          <t>Spark.fi PYUSD Reserve Uniswap V4 (PYUSD/USDS)</t>
        </is>
      </c>
      <c r="C44" t="inlineStr">
        <is>
          <t>ethereum</t>
        </is>
      </c>
      <c r="D44" t="inlineStr">
        <is>
          <t>F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S62</t>
        </is>
      </c>
      <c r="B45" t="inlineStr">
        <is>
          <t>Spark.fi USDT Reserve Uniswap V4 (USDT/USDS)</t>
        </is>
      </c>
      <c r="C45" t="inlineStr">
        <is>
          <t>ethereum</t>
        </is>
      </c>
      <c r="D45" t="inlineStr">
        <is>
          <t>F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891780.0000000449</v>
      </c>
      <c r="I46" s="6" t="n">
        <v>0</v>
      </c>
      <c r="J46" s="6" t="n">
        <v>891780.0000000449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891780.0000000449</v>
      </c>
      <c r="Q46" s="6" t="n">
        <v>0</v>
      </c>
      <c r="R46" s="6" t="n">
        <v>0</v>
      </c>
      <c r="S46" t="inlineStr"/>
    </row>
    <row r="47">
      <c r="A47" t="inlineStr">
        <is>
          <t>S27</t>
        </is>
      </c>
      <c r="B47" t="inlineStr">
        <is>
          <t>USDT raw (ALM idle — $442M as of 2026-04)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S29</t>
        </is>
      </c>
      <c r="B48" t="inlineStr">
        <is>
          <t>DAI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S31</t>
        </is>
      </c>
      <c r="B49" t="inlineStr">
        <is>
          <t>USDS raw / POL (ALM idle — already netted out of utilized)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S38</t>
        </is>
      </c>
      <c r="B50" t="inlineStr">
        <is>
          <t>USDS raw (Base — POL)</t>
        </is>
      </c>
      <c r="C50" t="inlineStr">
        <is>
          <t>base</t>
        </is>
      </c>
      <c r="D50" t="inlineStr">
        <is>
          <t>A</t>
        </is>
      </c>
      <c r="E50" s="6" t="n">
        <v>65170000</v>
      </c>
      <c r="F50" s="6" t="n">
        <v>65170000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65170000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65170000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S42</t>
        </is>
      </c>
      <c r="B51" t="inlineStr">
        <is>
          <t>Fluid Savings USDS (fsUSDS, Arbitrum)</t>
        </is>
      </c>
      <c r="C51" t="inlineStr">
        <is>
          <t>arbitrum</t>
        </is>
      </c>
      <c r="D51" t="inlineStr">
        <is>
          <t>B</t>
        </is>
      </c>
      <c r="E51" s="6" t="n">
        <v>0</v>
      </c>
      <c r="F51" s="6" t="n">
        <v>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0</v>
      </c>
      <c r="M51" s="7" t="n">
        <v>1</v>
      </c>
      <c r="N51" s="6" t="n">
        <v>0</v>
      </c>
      <c r="O51" s="6" t="n">
        <v>0</v>
      </c>
      <c r="P51" s="6" t="n">
        <v>0</v>
      </c>
      <c r="Q51" s="6" t="n">
        <v>0</v>
      </c>
      <c r="R51" s="6" t="n">
        <v>0</v>
      </c>
      <c r="S51" t="inlineStr"/>
    </row>
    <row r="52">
      <c r="A52" t="inlineStr">
        <is>
          <t>S44</t>
        </is>
      </c>
      <c r="B52" t="inlineStr">
        <is>
          <t>USDS raw (Arbitrum — POL)</t>
        </is>
      </c>
      <c r="C52" t="inlineStr">
        <is>
          <t>arbitrum</t>
        </is>
      </c>
      <c r="D52" t="inlineStr">
        <is>
          <t>A</t>
        </is>
      </c>
      <c r="E52" s="6" t="n">
        <v>90000000</v>
      </c>
      <c r="F52" s="6" t="n">
        <v>90000000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90000000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90000000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S48</t>
        </is>
      </c>
      <c r="B53" t="inlineStr">
        <is>
          <t>USDS raw (Optimism — POL)</t>
        </is>
      </c>
      <c r="C53" t="inlineStr">
        <is>
          <t>optimism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S52</t>
        </is>
      </c>
      <c r="B54" t="inlineStr">
        <is>
          <t>USDS raw (Unichain — POL)</t>
        </is>
      </c>
      <c r="C54" t="inlineStr">
        <is>
          <t>unichain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S55</t>
        </is>
      </c>
      <c r="B55" t="inlineStr">
        <is>
          <t>USDC raw (Avalanche-C — ALM idle)</t>
        </is>
      </c>
      <c r="C55" t="inlineStr">
        <is>
          <t>avalanche_c</t>
        </is>
      </c>
      <c r="D55" t="inlineStr">
        <is>
          <t>A</t>
        </is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0</v>
      </c>
      <c r="M55" s="7" t="n">
        <v>1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t="inlineStr"/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215278739.036717</v>
      </c>
      <c r="F60" s="6" t="n">
        <v>207131500.431691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153856441.430568</v>
      </c>
      <c r="F61" s="6" t="n">
        <v>120038508.359851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21463.341472</v>
      </c>
      <c r="F62" s="6" t="n">
        <v>285387.136685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190414182.348414</v>
      </c>
      <c r="F63" s="6" t="n">
        <v>95656876.179346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2368433176.884962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1368433176.884962</v>
      </c>
    </row>
    <row r="8">
      <c r="A8" t="inlineStr">
        <is>
          <t>Base rate (BR = SSR + 30bps), period avg</t>
        </is>
      </c>
      <c r="B8" s="7" t="n">
        <v>0.04312000189646037</v>
      </c>
    </row>
    <row r="9">
      <c r="A9" t="inlineStr">
        <is>
          <t>Reference rate (tbill_3m), period avg</t>
        </is>
      </c>
      <c r="B9" s="7" t="n">
        <v>0.03664516129032258</v>
      </c>
    </row>
    <row r="10">
      <c r="A10" t="inlineStr">
        <is>
          <t>Subsidised rate (BR*), period avg</t>
        </is>
      </c>
      <c r="B10" s="7" t="n">
        <v>0.03664516129032258</v>
      </c>
    </row>
    <row r="11">
      <c r="A11" s="8" t="inlineStr">
        <is>
          <t>Effective blended rate charged</t>
        </is>
      </c>
      <c r="B11" s="10" t="n">
        <v>0.04038619430191649</v>
      </c>
    </row>
    <row r="12">
      <c r="A12" s="8" t="inlineStr">
        <is>
          <t>Diff vs base rate (bps)</t>
        </is>
      </c>
      <c r="B12" s="11" t="n">
        <v>-27.33807594543876</v>
      </c>
    </row>
    <row r="13">
      <c r="A13" s="8" t="inlineStr">
        <is>
          <t>Subsidy benefit to prime (USD)</t>
        </is>
      </c>
      <c r="B13" s="12" t="n">
        <v>528888.0918654647</v>
      </c>
    </row>
    <row r="15">
      <c r="A15" t="inlineStr">
        <is>
          <t>CoF at full base rate (no subsidy)</t>
        </is>
      </c>
      <c r="B15" s="3" t="n">
        <v>8492478.697000314</v>
      </c>
    </row>
    <row r="16">
      <c r="A16" t="inlineStr">
        <is>
          <t xml:space="preserve">  − actual CoF (subsidy on first tranche)</t>
        </is>
      </c>
      <c r="B16" s="3" t="n">
        <v>7963590.605134849</v>
      </c>
    </row>
    <row r="17">
      <c r="A17" s="8" t="inlineStr">
        <is>
          <t xml:space="preserve">  = subsidy benefit</t>
        </is>
      </c>
      <c r="B17" s="12" t="n">
        <v>528888.0918654647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3056806.780121546</v>
      </c>
    </row>
    <row r="21">
      <c r="A21" t="inlineStr">
        <is>
          <t>Excess (&gt; cap)</t>
        </is>
      </c>
      <c r="B21" s="6" t="n">
        <v>1368433176.884962</v>
      </c>
      <c r="C21" s="3" t="n">
        <v>4906783.825013302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7842258.862624213</v>
      </c>
    </row>
    <row r="25">
      <c r="A25" t="inlineStr">
        <is>
          <t>+ Sky-Direct revenue (full venue yield on fixed/capped SDE)</t>
        </is>
      </c>
      <c r="B25" s="3" t="n">
        <v>2023.078108892489</v>
      </c>
    </row>
    <row r="26">
      <c r="A26" t="inlineStr">
        <is>
          <t>equals sky_revenue (total Sky take this month)</t>
        </is>
      </c>
      <c r="B26" s="3" t="n">
        <v>7844281.940733105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10697137.71144044</v>
      </c>
    </row>
    <row r="31">
      <c r="A31" t="inlineStr">
        <is>
          <t xml:space="preserve">    ↳ actual CoF on Net_Subs (BR × utilized)</t>
        </is>
      </c>
      <c r="B31" s="3" t="n">
        <v>7842258.862624213</v>
      </c>
    </row>
    <row r="32">
      <c r="A32" t="inlineStr">
        <is>
          <t xml:space="preserve">    ↳ reduction from idle/SDE deductions</t>
        </is>
      </c>
      <c r="B32" s="3" t="n">
        <v>-2854878.848816229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121331.7425106354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</t>
        </is>
      </c>
    </row>
    <row r="43">
      <c r="A43" t="inlineStr">
        <is>
          <t>T this period</t>
        </is>
      </c>
      <c r="B43" t="inlineStr">
        <is>
          <t>0 (SoM) → 0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2023.078108892489</v>
      </c>
      <c r="J5" s="6" t="n">
        <v>2023.078108892489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no</t>
        </is>
      </c>
      <c r="G6" t="inlineStr"/>
      <c r="H6" t="inlineStr">
        <is>
          <t>PYUSD in PYUSD/USDS Uniswap V4</t>
        </is>
      </c>
      <c r="I6" s="6" t="n">
        <v>0</v>
      </c>
      <c r="J6" s="6" t="n">
        <v>0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no</t>
        </is>
      </c>
      <c r="G7" t="inlineStr"/>
      <c r="H7" t="inlineStr">
        <is>
          <t>USDT in USDT/USDS Uniswap V4</t>
        </is>
      </c>
      <c r="I7" s="6" t="n">
        <v>0</v>
      </c>
      <c r="J7" s="6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0.04000000189078801</v>
      </c>
      <c r="J6" s="7" t="n">
        <v>0.04312000189646037</v>
      </c>
      <c r="K6" t="n">
        <v>0</v>
      </c>
      <c r="L6" s="7" t="n">
        <v>0.0367</v>
      </c>
      <c r="M6" s="7" t="n">
        <v>0.0367</v>
      </c>
      <c r="N6" s="3" t="n">
        <v>258674.0088349565</v>
      </c>
      <c r="O6" s="3" t="n">
        <v>343497.2243652721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0.04000000189078801</v>
      </c>
      <c r="J7" s="7" t="n">
        <v>0.04312000189646037</v>
      </c>
      <c r="K7" t="n">
        <v>0</v>
      </c>
      <c r="L7" s="7" t="n">
        <v>0.0365</v>
      </c>
      <c r="M7" s="7" t="n">
        <v>0.0365</v>
      </c>
      <c r="N7" s="3" t="n">
        <v>260868.5878462606</v>
      </c>
      <c r="O7" s="3" t="n">
        <v>345286.9196895398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0.04000000189078801</v>
      </c>
      <c r="J8" s="7" t="n">
        <v>0.04312000189646037</v>
      </c>
      <c r="K8" t="n">
        <v>0</v>
      </c>
      <c r="L8" s="7" t="n">
        <v>0.0365</v>
      </c>
      <c r="M8" s="7" t="n">
        <v>0.0365</v>
      </c>
      <c r="N8" s="3" t="n">
        <v>260834.6447386108</v>
      </c>
      <c r="O8" s="3" t="n">
        <v>344866.2817702359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0.04000000189078801</v>
      </c>
      <c r="J9" s="7" t="n">
        <v>0.04312000189646037</v>
      </c>
      <c r="K9" t="n">
        <v>0</v>
      </c>
      <c r="L9" s="7" t="n">
        <v>0.0365</v>
      </c>
      <c r="M9" s="7" t="n">
        <v>0.0365</v>
      </c>
      <c r="N9" s="3" t="n">
        <v>263167.8851298936</v>
      </c>
      <c r="O9" s="3" t="n">
        <v>348014.7371524098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0.04000000189078801</v>
      </c>
      <c r="J10" s="7" t="n">
        <v>0.04312000189646037</v>
      </c>
      <c r="K10" t="n">
        <v>0</v>
      </c>
      <c r="L10" s="7" t="n">
        <v>0.0364</v>
      </c>
      <c r="M10" s="7" t="n">
        <v>0.0364</v>
      </c>
      <c r="N10" s="3" t="n">
        <v>266277.0616281037</v>
      </c>
      <c r="O10" s="3" t="n">
        <v>347360.2192747848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0.04000000189078801</v>
      </c>
      <c r="J11" s="7" t="n">
        <v>0.04312000189646037</v>
      </c>
      <c r="K11" t="n">
        <v>0</v>
      </c>
      <c r="L11" s="7" t="n">
        <v>0.0363</v>
      </c>
      <c r="M11" s="7" t="n">
        <v>0.0363</v>
      </c>
      <c r="N11" s="3" t="n">
        <v>258510.178634695</v>
      </c>
      <c r="O11" s="3" t="n">
        <v>343441.6462528568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0.04000000189078801</v>
      </c>
      <c r="J12" s="7" t="n">
        <v>0.04312000189646037</v>
      </c>
      <c r="K12" t="n">
        <v>0</v>
      </c>
      <c r="L12" s="7" t="n">
        <v>0.0362</v>
      </c>
      <c r="M12" s="7" t="n">
        <v>0.0362</v>
      </c>
      <c r="N12" s="3" t="n">
        <v>260864.8033524771</v>
      </c>
      <c r="O12" s="3" t="n">
        <v>345105.1117051775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0.04000000189078801</v>
      </c>
      <c r="J13" s="7" t="n">
        <v>0.04312000189646037</v>
      </c>
      <c r="K13" t="n">
        <v>0</v>
      </c>
      <c r="L13" s="7" t="n">
        <v>0.0362</v>
      </c>
      <c r="M13" s="7" t="n">
        <v>0.0362</v>
      </c>
      <c r="N13" s="3" t="n">
        <v>271044.6295979049</v>
      </c>
      <c r="O13" s="3" t="n">
        <v>359481.8949711579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0.04000000189078801</v>
      </c>
      <c r="J14" s="7" t="n">
        <v>0.04312000189646037</v>
      </c>
      <c r="K14" t="n">
        <v>0</v>
      </c>
      <c r="L14" s="7" t="n">
        <v>0.0362</v>
      </c>
      <c r="M14" s="7" t="n">
        <v>0.0362</v>
      </c>
      <c r="N14" s="3" t="n">
        <v>251107.0286146874</v>
      </c>
      <c r="O14" s="3" t="n">
        <v>339737.8330056912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0.04000000189078801</v>
      </c>
      <c r="J15" s="7" t="n">
        <v>0.04312000189646037</v>
      </c>
      <c r="K15" t="n">
        <v>0</v>
      </c>
      <c r="L15" s="7" t="n">
        <v>0.0362</v>
      </c>
      <c r="M15" s="7" t="n">
        <v>0.0362</v>
      </c>
      <c r="N15" s="3" t="n">
        <v>247168.9511931387</v>
      </c>
      <c r="O15" s="3" t="n">
        <v>335943.5386688838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0.04000000189078801</v>
      </c>
      <c r="J16" s="7" t="n">
        <v>0.04312000189646037</v>
      </c>
      <c r="K16" t="n">
        <v>0</v>
      </c>
      <c r="L16" s="7" t="n">
        <v>0.0362</v>
      </c>
      <c r="M16" s="7" t="n">
        <v>0.0362</v>
      </c>
      <c r="N16" s="3" t="n">
        <v>245578.0382447854</v>
      </c>
      <c r="O16" s="3" t="n">
        <v>334318.0297405862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0.04000000189078801</v>
      </c>
      <c r="J17" s="7" t="n">
        <v>0.04312000189646037</v>
      </c>
      <c r="K17" t="n">
        <v>0</v>
      </c>
      <c r="L17" s="7" t="n">
        <v>0.0367</v>
      </c>
      <c r="M17" s="7" t="n">
        <v>0.0367</v>
      </c>
      <c r="N17" s="3" t="n">
        <v>246434.893009165</v>
      </c>
      <c r="O17" s="3" t="n">
        <v>336511.1226244209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0.04000000189078801</v>
      </c>
      <c r="J18" s="7" t="n">
        <v>0.04312000189646037</v>
      </c>
      <c r="K18" t="n">
        <v>0</v>
      </c>
      <c r="L18" s="7" t="n">
        <v>0.0367</v>
      </c>
      <c r="M18" s="7" t="n">
        <v>0.0367</v>
      </c>
      <c r="N18" s="3" t="n">
        <v>238457.1029046124</v>
      </c>
      <c r="O18" s="3" t="n">
        <v>328632.6803158245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0.04000000189078801</v>
      </c>
      <c r="J19" s="7" t="n">
        <v>0.04312000189646037</v>
      </c>
      <c r="K19" t="n">
        <v>0</v>
      </c>
      <c r="L19" s="7" t="n">
        <v>0.0367</v>
      </c>
      <c r="M19" s="7" t="n">
        <v>0.0367</v>
      </c>
      <c r="N19" s="3" t="n">
        <v>234959.3226317338</v>
      </c>
      <c r="O19" s="3" t="n">
        <v>318964.0372038097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0.04000000189078801</v>
      </c>
      <c r="J20" s="7" t="n">
        <v>0.04312000189646037</v>
      </c>
      <c r="K20" t="n">
        <v>0</v>
      </c>
      <c r="L20" s="7" t="n">
        <v>0.0368</v>
      </c>
      <c r="M20" s="7" t="n">
        <v>0.0368</v>
      </c>
      <c r="N20" s="3" t="n">
        <v>231028.54115381</v>
      </c>
      <c r="O20" s="3" t="n">
        <v>317244.3766382864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0.04000000189078801</v>
      </c>
      <c r="J21" s="7" t="n">
        <v>0.04312000189646037</v>
      </c>
      <c r="K21" t="n">
        <v>0</v>
      </c>
      <c r="L21" s="7" t="n">
        <v>0.0367</v>
      </c>
      <c r="M21" s="7" t="n">
        <v>0.0367</v>
      </c>
      <c r="N21" s="3" t="n">
        <v>230287.9888021982</v>
      </c>
      <c r="O21" s="3" t="n">
        <v>317210.2362227674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0.04000000189078801</v>
      </c>
      <c r="J22" s="7" t="n">
        <v>0.04312000189646037</v>
      </c>
      <c r="K22" t="n">
        <v>0</v>
      </c>
      <c r="L22" s="7" t="n">
        <v>0.0367</v>
      </c>
      <c r="M22" s="7" t="n">
        <v>0.0367</v>
      </c>
      <c r="N22" s="3" t="n">
        <v>230513.8710049892</v>
      </c>
      <c r="O22" s="3" t="n">
        <v>317091.1217686893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0.04000000189078801</v>
      </c>
      <c r="J23" s="7" t="n">
        <v>0.04312000189646037</v>
      </c>
      <c r="K23" t="n">
        <v>0</v>
      </c>
      <c r="L23" s="7" t="n">
        <v>0.0367</v>
      </c>
      <c r="M23" s="7" t="n">
        <v>0.0367</v>
      </c>
      <c r="N23" s="3" t="n">
        <v>230930.7689056115</v>
      </c>
      <c r="O23" s="3" t="n">
        <v>317329.5729092807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0.04000000189078801</v>
      </c>
      <c r="J24" s="7" t="n">
        <v>0.04312000189646037</v>
      </c>
      <c r="K24" t="n">
        <v>0</v>
      </c>
      <c r="L24" s="7" t="n">
        <v>0.0367</v>
      </c>
      <c r="M24" s="7" t="n">
        <v>0.0367</v>
      </c>
      <c r="N24" s="3" t="n">
        <v>271142.3471270078</v>
      </c>
      <c r="O24" s="3" t="n">
        <v>358222.5708691222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0.04000000189078801</v>
      </c>
      <c r="J25" s="7" t="n">
        <v>0.04312000189646037</v>
      </c>
      <c r="K25" t="n">
        <v>0</v>
      </c>
      <c r="L25" s="7" t="n">
        <v>0.037</v>
      </c>
      <c r="M25" s="7" t="n">
        <v>0.037</v>
      </c>
      <c r="N25" s="3" t="n">
        <v>269791.5387564708</v>
      </c>
      <c r="O25" s="3" t="n">
        <v>356629.6480863115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0.04000000189078801</v>
      </c>
      <c r="J26" s="7" t="n">
        <v>0.04312000189646037</v>
      </c>
      <c r="K26" t="n">
        <v>0</v>
      </c>
      <c r="L26" s="7" t="n">
        <v>0.037</v>
      </c>
      <c r="M26" s="7" t="n">
        <v>0.037</v>
      </c>
      <c r="N26" s="3" t="n">
        <v>259007.4615322821</v>
      </c>
      <c r="O26" s="3" t="n">
        <v>345535.9042829284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0.04000000189078801</v>
      </c>
      <c r="J27" s="7" t="n">
        <v>0.04312000189646037</v>
      </c>
      <c r="K27" t="n">
        <v>0</v>
      </c>
      <c r="L27" s="7" t="n">
        <v>0.0371</v>
      </c>
      <c r="M27" s="7" t="n">
        <v>0.0371</v>
      </c>
      <c r="N27" s="3" t="n">
        <v>259786.5783112998</v>
      </c>
      <c r="O27" s="3" t="n">
        <v>348084.0705088277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0.04000000189078801</v>
      </c>
      <c r="J28" s="7" t="n">
        <v>0.04312000189646037</v>
      </c>
      <c r="K28" t="n">
        <v>0</v>
      </c>
      <c r="L28" s="7" t="n">
        <v>0.037</v>
      </c>
      <c r="M28" s="7" t="n">
        <v>0.037</v>
      </c>
      <c r="N28" s="3" t="n">
        <v>260870.3013229113</v>
      </c>
      <c r="O28" s="3" t="n">
        <v>350670.3960958138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0.04000000189078801</v>
      </c>
      <c r="J29" s="7" t="n">
        <v>0.04312000189646037</v>
      </c>
      <c r="K29" t="n">
        <v>0</v>
      </c>
      <c r="L29" s="7" t="n">
        <v>0.037</v>
      </c>
      <c r="M29" s="7" t="n">
        <v>0.037</v>
      </c>
      <c r="N29" s="3" t="n">
        <v>260930.649653452</v>
      </c>
      <c r="O29" s="3" t="n">
        <v>350846.5603387863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0.04000000189078801</v>
      </c>
      <c r="J30" s="7" t="n">
        <v>0.04312000189646037</v>
      </c>
      <c r="K30" t="n">
        <v>0</v>
      </c>
      <c r="L30" s="7" t="n">
        <v>0.037</v>
      </c>
      <c r="M30" s="7" t="n">
        <v>0.037</v>
      </c>
      <c r="N30" s="3" t="n">
        <v>262337.0714727383</v>
      </c>
      <c r="O30" s="3" t="n">
        <v>352063.1122983262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0.04000000189078801</v>
      </c>
      <c r="J31" s="7" t="n">
        <v>0.04312000189646037</v>
      </c>
      <c r="K31" t="n">
        <v>0</v>
      </c>
      <c r="L31" s="7" t="n">
        <v>0.0367</v>
      </c>
      <c r="M31" s="7" t="n">
        <v>0.0367</v>
      </c>
      <c r="N31" s="3" t="n">
        <v>264041.5780817207</v>
      </c>
      <c r="O31" s="3" t="n">
        <v>353837.4208911773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0.04000000189078801</v>
      </c>
      <c r="J32" s="7" t="n">
        <v>0.04312000189646037</v>
      </c>
      <c r="K32" t="n">
        <v>0</v>
      </c>
      <c r="L32" s="7" t="n">
        <v>0.0367</v>
      </c>
      <c r="M32" s="7" t="n">
        <v>0.0367</v>
      </c>
      <c r="N32" s="3" t="n">
        <v>266593.8896853206</v>
      </c>
      <c r="O32" s="3" t="n">
        <v>358600.1080804868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0.04000000189078801</v>
      </c>
      <c r="J33" s="7" t="n">
        <v>0.04312000189646037</v>
      </c>
      <c r="K33" t="n">
        <v>0</v>
      </c>
      <c r="L33" s="7" t="n">
        <v>0.0368</v>
      </c>
      <c r="M33" s="7" t="n">
        <v>0.0368</v>
      </c>
      <c r="N33" s="3" t="n">
        <v>268213.1514783219</v>
      </c>
      <c r="O33" s="3" t="n">
        <v>361463.8940367164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0.04000000189078801</v>
      </c>
      <c r="J34" s="7" t="n">
        <v>0.04312000189646037</v>
      </c>
      <c r="K34" t="n">
        <v>0</v>
      </c>
      <c r="L34" s="7" t="n">
        <v>0.0367</v>
      </c>
      <c r="M34" s="7" t="n">
        <v>0.0367</v>
      </c>
      <c r="N34" s="3" t="n">
        <v>280907.3176702902</v>
      </c>
      <c r="O34" s="3" t="n">
        <v>376838.3360151744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0.04000000189078801</v>
      </c>
      <c r="J35" s="7" t="n">
        <v>0.04312000189646037</v>
      </c>
      <c r="K35" t="n">
        <v>0</v>
      </c>
      <c r="L35" s="7" t="n">
        <v>0.0367</v>
      </c>
      <c r="M35" s="7" t="n">
        <v>0.0367</v>
      </c>
      <c r="N35" s="3" t="n">
        <v>278620.1606752471</v>
      </c>
      <c r="O35" s="3" t="n">
        <v>374772.4107011372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0.04000000189078801</v>
      </c>
      <c r="J36" s="7" t="n">
        <v>0.04312000189646037</v>
      </c>
      <c r="K36" t="n">
        <v>0</v>
      </c>
      <c r="L36" s="7" t="n">
        <v>0.0367</v>
      </c>
      <c r="M36" s="7" t="n">
        <v>0.0367</v>
      </c>
      <c r="N36" s="3" t="n">
        <v>274640.2531401516</v>
      </c>
      <c r="O36" s="3" t="n">
        <v>369536.694955959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7963590.605134849</v>
      </c>
      <c r="O38" s="12" t="n">
        <v>10697137.71144044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2026-07-31T00:08:34Z</dcterms:created>
  <dcterms:modified xsi:type="dcterms:W3CDTF">2026-07-31T00:08:34Z</dcterms:modified>
</cp:coreProperties>
</file>