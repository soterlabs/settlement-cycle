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0</v>
      </c>
    </row>
    <row r="6">
      <c r="A6" t="inlineStr"/>
      <c r="B6" s="4" t="n">
        <v>3154426.617530323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3445457.756234186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3528933.274938526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3445457.756234186</v>
      </c>
    </row>
    <row r="15">
      <c r="A15" t="inlineStr">
        <is>
          <t>reduction from idle/SDE deductions</t>
        </is>
      </c>
      <c r="B15" s="3" t="n">
        <v>-6767410.804955734</v>
      </c>
    </row>
    <row r="16">
      <c r="A16" t="inlineStr"/>
      <c r="B16" s="4" t="n">
        <v>10212868.56118992</v>
      </c>
    </row>
    <row r="18">
      <c r="A18" s="5" t="inlineStr">
        <is>
          <t>sUSDS spread (Curve LP + PSM3) — credited to prime_agent_revenue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-3445457.756234186</v>
      </c>
    </row>
    <row r="23">
      <c r="A23" t="inlineStr"/>
      <c r="B23" s="4" t="n">
        <v>-471501.7591886641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2026-06-08T12:36:52+00:00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905486.470549769</v>
      </c>
      <c r="O2" s="6" t="n">
        <v>905486.470549769</v>
      </c>
      <c r="P2" s="6" t="n">
        <v>-905486.470549769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497662.945494215</v>
      </c>
      <c r="O3" s="6" t="n">
        <v>497662.945494215</v>
      </c>
      <c r="P3" s="6" t="n">
        <v>2162156.054505785</v>
      </c>
      <c r="Q3" s="6" t="n">
        <v>0</v>
      </c>
      <c r="R3" s="6" t="n">
        <v>0</v>
      </c>
      <c r="S3" t="inlineStr"/>
    </row>
    <row r="4">
      <c r="A4" t="inlineStr">
        <is>
          <t>S57</t>
        </is>
      </c>
      <c r="B4" t="inlineStr">
        <is>
          <t>Spark Savings V2 — spUSDT vault</t>
        </is>
      </c>
      <c r="C4" t="inlineStr">
        <is>
          <t>ethereum</t>
        </is>
      </c>
      <c r="D4" t="inlineStr">
        <is>
          <t>S2</t>
        </is>
      </c>
      <c r="E4" s="6" t="n">
        <v>387977397.421864</v>
      </c>
      <c r="F4" s="6" t="n">
        <v>867900893.337617</v>
      </c>
      <c r="G4" s="6" t="n">
        <v>479923495.915753</v>
      </c>
      <c r="H4" s="6" t="n">
        <v>-1295372.434767436</v>
      </c>
      <c r="I4" s="6" t="n">
        <v>0</v>
      </c>
      <c r="J4" s="6" t="n">
        <v>-1295372.434767436</v>
      </c>
      <c r="K4" s="6" t="n">
        <v>0</v>
      </c>
      <c r="L4" s="6" t="n">
        <v>387977397.421864</v>
      </c>
      <c r="M4" s="7" t="n">
        <v>1</v>
      </c>
      <c r="N4" s="6" t="n">
        <v>365181.4089183364</v>
      </c>
      <c r="O4" s="6" t="n">
        <v>365181.4089183364</v>
      </c>
      <c r="P4" s="6" t="n">
        <v>-1660553.843685773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334974961.947338</v>
      </c>
      <c r="F5" s="6" t="n">
        <v>282411706.537503</v>
      </c>
      <c r="G5" s="6" t="n">
        <v>-52563255.409835</v>
      </c>
      <c r="H5" s="6" t="n">
        <v>575230.6970620001</v>
      </c>
      <c r="I5" s="6" t="n">
        <v>0</v>
      </c>
      <c r="J5" s="6" t="n">
        <v>575230.6970620001</v>
      </c>
      <c r="K5" s="6" t="n">
        <v>0</v>
      </c>
      <c r="L5" s="6" t="n">
        <v>333260817.2342123</v>
      </c>
      <c r="M5" s="7" t="n">
        <v>1</v>
      </c>
      <c r="N5" s="6" t="n">
        <v>313679.7545000686</v>
      </c>
      <c r="O5" s="6" t="n">
        <v>313679.7545000686</v>
      </c>
      <c r="P5" s="6" t="n">
        <v>261550.9425619314</v>
      </c>
      <c r="Q5" s="6" t="n">
        <v>0</v>
      </c>
      <c r="R5" s="6" t="n">
        <v>0</v>
      </c>
      <c r="S5" t="inlineStr"/>
    </row>
    <row r="6">
      <c r="A6" t="inlineStr">
        <is>
          <t>S56</t>
        </is>
      </c>
      <c r="B6" t="inlineStr">
        <is>
          <t>Spark Savings V2 — spUSDC vault</t>
        </is>
      </c>
      <c r="C6" t="inlineStr">
        <is>
          <t>ethereum</t>
        </is>
      </c>
      <c r="D6" t="inlineStr">
        <is>
          <t>S2</t>
        </is>
      </c>
      <c r="E6" s="6" t="n">
        <v>287780830.420175</v>
      </c>
      <c r="F6" s="6" t="n">
        <v>456780102.344065</v>
      </c>
      <c r="G6" s="6" t="n">
        <v>168999271.92389</v>
      </c>
      <c r="H6" s="6" t="n">
        <v>-1212564.103655469</v>
      </c>
      <c r="I6" s="6" t="n">
        <v>0</v>
      </c>
      <c r="J6" s="6" t="n">
        <v>-1212564.103655469</v>
      </c>
      <c r="K6" s="6" t="n">
        <v>0</v>
      </c>
      <c r="L6" s="6" t="n">
        <v>287780830.420175</v>
      </c>
      <c r="M6" s="7" t="n">
        <v>1</v>
      </c>
      <c r="N6" s="6" t="n">
        <v>270871.9884479693</v>
      </c>
      <c r="O6" s="6" t="n">
        <v>270871.9884479693</v>
      </c>
      <c r="P6" s="6" t="n">
        <v>-1483436.092103438</v>
      </c>
      <c r="Q6" s="6" t="n">
        <v>0</v>
      </c>
      <c r="R6" s="6" t="n">
        <v>0</v>
      </c>
      <c r="S6" t="inlineStr"/>
    </row>
    <row r="7">
      <c r="A7" t="inlineStr">
        <is>
          <t>S1</t>
        </is>
      </c>
      <c r="B7" t="inlineStr">
        <is>
          <t>Spark USDS (SparkLend spToken)</t>
        </is>
      </c>
      <c r="C7" t="inlineStr">
        <is>
          <t>ethereum</t>
        </is>
      </c>
      <c r="D7" t="inlineStr">
        <is>
          <t>C</t>
        </is>
      </c>
      <c r="E7" s="6" t="n">
        <v>275418608.32134</v>
      </c>
      <c r="F7" s="6" t="n">
        <v>150752807.5253913</v>
      </c>
      <c r="G7" s="6" t="n">
        <v>-124665800.7959487</v>
      </c>
      <c r="H7" s="6" t="n">
        <v>604546.7198706791</v>
      </c>
      <c r="I7" s="6" t="n">
        <v>0</v>
      </c>
      <c r="J7" s="6" t="n">
        <v>604546.7198706791</v>
      </c>
      <c r="K7" s="6" t="n">
        <v>0</v>
      </c>
      <c r="L7" s="6" t="n">
        <v>232362954.9288507</v>
      </c>
      <c r="M7" s="7" t="n">
        <v>1</v>
      </c>
      <c r="N7" s="6" t="n">
        <v>218710.2440121779</v>
      </c>
      <c r="O7" s="6" t="n">
        <v>218710.2440121779</v>
      </c>
      <c r="P7" s="6" t="n">
        <v>385836.4758585012</v>
      </c>
      <c r="Q7" s="6" t="n">
        <v>39014674.44036614</v>
      </c>
      <c r="R7" s="6" t="n">
        <v>0</v>
      </c>
      <c r="S7" t="inlineStr">
        <is>
          <t>(avg excl. lending_idle)</t>
        </is>
      </c>
    </row>
    <row r="8">
      <c r="A8" t="inlineStr">
        <is>
          <t>S4</t>
        </is>
      </c>
      <c r="B8" t="inlineStr">
        <is>
          <t>Spark DAI (SparkLend spToken)</t>
        </is>
      </c>
      <c r="C8" t="inlineStr">
        <is>
          <t>ethereum</t>
        </is>
      </c>
      <c r="D8" t="inlineStr">
        <is>
          <t>C</t>
        </is>
      </c>
      <c r="E8" s="6" t="n">
        <v>246097994.8466104</v>
      </c>
      <c r="F8" s="6" t="n">
        <v>252839704.1525801</v>
      </c>
      <c r="G8" s="6" t="n">
        <v>6741709.305969649</v>
      </c>
      <c r="H8" s="6" t="n">
        <v>570329.5748531731</v>
      </c>
      <c r="I8" s="6" t="n">
        <v>0</v>
      </c>
      <c r="J8" s="6" t="n">
        <v>570329.5748531731</v>
      </c>
      <c r="K8" s="6" t="n">
        <v>0</v>
      </c>
      <c r="L8" s="6" t="n">
        <v>170360077.113777</v>
      </c>
      <c r="M8" s="7" t="n">
        <v>1</v>
      </c>
      <c r="N8" s="6" t="n">
        <v>160350.4054546752</v>
      </c>
      <c r="O8" s="6" t="n">
        <v>160350.4054546752</v>
      </c>
      <c r="P8" s="6" t="n">
        <v>409979.1693984979</v>
      </c>
      <c r="Q8" s="6" t="n">
        <v>75936994.49835326</v>
      </c>
      <c r="R8" s="6" t="n">
        <v>0</v>
      </c>
      <c r="S8" t="inlineStr">
        <is>
          <t>(avg excl. lending_idle)</t>
        </is>
      </c>
    </row>
    <row r="9">
      <c r="A9" t="inlineStr">
        <is>
          <t>S60</t>
        </is>
      </c>
      <c r="B9" t="inlineStr">
        <is>
          <t>Spark Savings V2 — spUSDC vault (Avalanche-C, CREATE2 same address)</t>
        </is>
      </c>
      <c r="C9" t="inlineStr">
        <is>
          <t>avalanche_c</t>
        </is>
      </c>
      <c r="D9" t="inlineStr">
        <is>
          <t>S2</t>
        </is>
      </c>
      <c r="E9" s="6" t="n">
        <v>152857139.195815</v>
      </c>
      <c r="F9" s="6" t="n">
        <v>73619968.24222299</v>
      </c>
      <c r="G9" s="6" t="n">
        <v>-79237170.953592</v>
      </c>
      <c r="H9" s="6" t="n">
        <v>-421343.6247346211</v>
      </c>
      <c r="I9" s="6" t="n">
        <v>0</v>
      </c>
      <c r="J9" s="6" t="n">
        <v>-421343.6247346211</v>
      </c>
      <c r="K9" s="6" t="n">
        <v>0</v>
      </c>
      <c r="L9" s="6" t="n">
        <v>152857139.195815</v>
      </c>
      <c r="M9" s="7" t="n">
        <v>1</v>
      </c>
      <c r="N9" s="6" t="n">
        <v>143875.86964005</v>
      </c>
      <c r="O9" s="6" t="n">
        <v>143875.86964005</v>
      </c>
      <c r="P9" s="6" t="n">
        <v>-565219.4943746711</v>
      </c>
      <c r="Q9" s="6" t="n">
        <v>0</v>
      </c>
      <c r="R9" s="6" t="n">
        <v>0</v>
      </c>
      <c r="S9" t="inlineStr"/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196856311.4279603</v>
      </c>
      <c r="F10" s="6" t="n">
        <v>142898719.7175219</v>
      </c>
      <c r="G10" s="6" t="n">
        <v>-53957591.71043837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151191144.4963191</v>
      </c>
      <c r="M10" s="7" t="n">
        <v>1</v>
      </c>
      <c r="N10" s="6" t="n">
        <v>142307.7620759105</v>
      </c>
      <c r="O10" s="6" t="n">
        <v>103842.5977678777</v>
      </c>
      <c r="P10" s="6" t="n">
        <v>-142307.7620759105</v>
      </c>
      <c r="Q10" s="6" t="n">
        <v>0</v>
      </c>
      <c r="R10" s="6" t="n">
        <v>38465.16430803272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200002600.606636</v>
      </c>
      <c r="F11" s="6" t="n">
        <v>100002159.2601167</v>
      </c>
      <c r="G11" s="6" t="n">
        <v>-100000441.3465193</v>
      </c>
      <c r="H11" s="6" t="n">
        <v>415095.0057011207</v>
      </c>
      <c r="I11" s="6" t="n">
        <v>0</v>
      </c>
      <c r="J11" s="6" t="n">
        <v>415095.0057011207</v>
      </c>
      <c r="K11" s="6" t="n">
        <v>0</v>
      </c>
      <c r="L11" s="6" t="n">
        <v>109444257.5753876</v>
      </c>
      <c r="M11" s="7" t="n">
        <v>1</v>
      </c>
      <c r="N11" s="6" t="n">
        <v>103013.7540098594</v>
      </c>
      <c r="O11" s="6" t="n">
        <v>103013.7540098594</v>
      </c>
      <c r="P11" s="6" t="n">
        <v>312081.2516912612</v>
      </c>
      <c r="Q11" s="6" t="n">
        <v>0</v>
      </c>
      <c r="R11" s="6" t="n">
        <v>0</v>
      </c>
      <c r="S11" t="inlineStr"/>
    </row>
    <row r="12">
      <c r="A12" t="inlineStr">
        <is>
          <t>SPREAD</t>
        </is>
      </c>
      <c r="B12" t="inlineStr">
        <is>
          <t>30bps sUSDS spread (Curve LP + PSM3) — Sky Revenue reduction</t>
        </is>
      </c>
      <c r="C12" t="inlineStr"/>
      <c r="D12" t="inlineStr"/>
      <c r="E12" s="6" t="n">
        <v>0</v>
      </c>
      <c r="F12" s="6" t="n">
        <v>0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0</v>
      </c>
      <c r="M12" s="7" t="n">
        <v>0</v>
      </c>
      <c r="N12" s="6" t="n">
        <v>0</v>
      </c>
      <c r="O12" s="6" t="n">
        <v>-96797.73390613489</v>
      </c>
      <c r="P12" s="6" t="n">
        <v>0</v>
      </c>
      <c r="Q12" s="6" t="n">
        <v>0</v>
      </c>
      <c r="R12" s="6" t="n">
        <v>96797.73390613489</v>
      </c>
      <c r="S12" t="inlineStr">
        <is>
          <t>sky-revenue reduction (no CoF; computed outside venue loop)</t>
        </is>
      </c>
    </row>
    <row r="13">
      <c r="A13" t="inlineStr">
        <is>
          <t>S25</t>
        </is>
      </c>
      <c r="B13" t="inlineStr">
        <is>
          <t>Spark.fi PYUSD Reserve Curve (PYUSD/USDS)</t>
        </is>
      </c>
      <c r="C13" t="inlineStr">
        <is>
          <t>ethereum</t>
        </is>
      </c>
      <c r="D13" t="inlineStr">
        <is>
          <t>F</t>
        </is>
      </c>
      <c r="E13" s="6" t="n">
        <v>100000617.7417743</v>
      </c>
      <c r="F13" s="6" t="n">
        <v>100000454.4463709</v>
      </c>
      <c r="G13" s="6" t="n">
        <v>-163.2954034076501</v>
      </c>
      <c r="H13" s="6" t="n">
        <v>9382.718447380783</v>
      </c>
      <c r="I13" s="6" t="n">
        <v>0</v>
      </c>
      <c r="J13" s="6" t="n">
        <v>9382.718447380783</v>
      </c>
      <c r="K13" s="6" t="n">
        <v>0</v>
      </c>
      <c r="L13" s="6" t="n">
        <v>100000309.8058436</v>
      </c>
      <c r="M13" s="7" t="n">
        <v>1</v>
      </c>
      <c r="N13" s="6" t="n">
        <v>94124.6945565241</v>
      </c>
      <c r="O13" s="6" t="n">
        <v>94124.6945565241</v>
      </c>
      <c r="P13" s="6" t="n">
        <v>-84741.97610914332</v>
      </c>
      <c r="Q13" s="6" t="n">
        <v>0</v>
      </c>
      <c r="R13" s="6" t="n">
        <v>0</v>
      </c>
      <c r="S13" t="inlineStr"/>
    </row>
    <row r="14">
      <c r="A14" t="inlineStr">
        <is>
          <t>S5</t>
        </is>
      </c>
      <c r="B14" t="inlineStr">
        <is>
          <t>Spark PYUSD (SparkLend spToken)</t>
        </is>
      </c>
      <c r="C14" t="inlineStr">
        <is>
          <t>ethereum</t>
        </is>
      </c>
      <c r="D14" t="inlineStr">
        <is>
          <t>C</t>
        </is>
      </c>
      <c r="E14" s="6" t="n">
        <v>100000062.958447</v>
      </c>
      <c r="F14" s="6" t="n">
        <v>100000230.666889</v>
      </c>
      <c r="G14" s="6" t="n">
        <v>167.708442</v>
      </c>
      <c r="H14" s="6" t="n">
        <v>71459.446648</v>
      </c>
      <c r="I14" s="6" t="n">
        <v>0</v>
      </c>
      <c r="J14" s="6" t="n">
        <v>71459.446648</v>
      </c>
      <c r="K14" s="6" t="n">
        <v>0</v>
      </c>
      <c r="L14" s="6" t="n">
        <v>99997763.22495648</v>
      </c>
      <c r="M14" s="7" t="n">
        <v>1</v>
      </c>
      <c r="N14" s="6" t="n">
        <v>94122.29760246833</v>
      </c>
      <c r="O14" s="6" t="n">
        <v>94122.29760246833</v>
      </c>
      <c r="P14" s="6" t="n">
        <v>-22662.85095446834</v>
      </c>
      <c r="Q14" s="6" t="n">
        <v>0</v>
      </c>
      <c r="R14" s="6" t="n">
        <v>0</v>
      </c>
      <c r="S14" t="inlineStr"/>
    </row>
    <row r="15">
      <c r="A15" t="inlineStr">
        <is>
          <t>S24</t>
        </is>
      </c>
      <c r="B15" t="inlineStr">
        <is>
          <t>Spark.fi USDT Reserve Curve (sUSDS/USDT)</t>
        </is>
      </c>
      <c r="C15" t="inlineStr">
        <is>
          <t>ethereum</t>
        </is>
      </c>
      <c r="D15" t="inlineStr">
        <is>
          <t>F</t>
        </is>
      </c>
      <c r="E15" s="6" t="n">
        <v>50000340.64647674</v>
      </c>
      <c r="F15" s="6" t="n">
        <v>50000879.85586481</v>
      </c>
      <c r="G15" s="6" t="n">
        <v>539.2093880709065</v>
      </c>
      <c r="H15" s="6" t="n">
        <v>83475.51870433975</v>
      </c>
      <c r="I15" s="6" t="n">
        <v>0</v>
      </c>
      <c r="J15" s="6" t="n">
        <v>0</v>
      </c>
      <c r="K15" s="6" t="n">
        <v>83475.51870433975</v>
      </c>
      <c r="L15" s="6" t="n">
        <v>49997665.28166009</v>
      </c>
      <c r="M15" s="7" t="n">
        <v>0</v>
      </c>
      <c r="N15" s="6" t="n">
        <v>0</v>
      </c>
      <c r="O15" s="6" t="n">
        <v>83475.51870433975</v>
      </c>
      <c r="P15" s="6" t="n">
        <v>0</v>
      </c>
      <c r="Q15" s="6" t="n">
        <v>49997665.28166009</v>
      </c>
      <c r="R15" s="6" t="n">
        <v>0</v>
      </c>
      <c r="S15" t="inlineStr">
        <is>
          <t>SDE (fixed)</t>
        </is>
      </c>
    </row>
    <row r="16">
      <c r="A16" t="inlineStr">
        <is>
          <t>S47</t>
        </is>
      </c>
      <c r="B16" t="inlineStr">
        <is>
          <t>Savings USDS / sUSDS proxy (Optimism — POL)</t>
        </is>
      </c>
      <c r="C16" t="inlineStr">
        <is>
          <t>optimism</t>
        </is>
      </c>
      <c r="D16" t="inlineStr">
        <is>
          <t>B</t>
        </is>
      </c>
      <c r="E16" s="6" t="n">
        <v>101411572.6019855</v>
      </c>
      <c r="F16" s="6" t="n">
        <v>101734967.5107904</v>
      </c>
      <c r="G16" s="6" t="n">
        <v>323394.9088048668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101411572.6019855</v>
      </c>
      <c r="M16" s="7" t="n">
        <v>1</v>
      </c>
      <c r="N16" s="6" t="n">
        <v>95453.03723749924</v>
      </c>
      <c r="O16" s="6" t="n">
        <v>69652.49967383042</v>
      </c>
      <c r="P16" s="6" t="n">
        <v>-95453.03723749924</v>
      </c>
      <c r="Q16" s="6" t="n">
        <v>0</v>
      </c>
      <c r="R16" s="6" t="n">
        <v>25800.53756366883</v>
      </c>
      <c r="S16" t="inlineStr"/>
    </row>
    <row r="17">
      <c r="A17" t="inlineStr">
        <is>
          <t>S37</t>
        </is>
      </c>
      <c r="B17" t="inlineStr">
        <is>
          <t>Savings USDS / sUSDS proxy (Base — POL)</t>
        </is>
      </c>
      <c r="C17" t="inlineStr">
        <is>
          <t>base</t>
        </is>
      </c>
      <c r="D17" t="inlineStr">
        <is>
          <t>B</t>
        </is>
      </c>
      <c r="E17" s="6" t="n">
        <v>75305516.51778577</v>
      </c>
      <c r="F17" s="6" t="n">
        <v>75545660.91178264</v>
      </c>
      <c r="G17" s="6" t="n">
        <v>240144.3939968634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75305516.51778577</v>
      </c>
      <c r="M17" s="7" t="n">
        <v>1</v>
      </c>
      <c r="N17" s="6" t="n">
        <v>70880.86781350816</v>
      </c>
      <c r="O17" s="6" t="n">
        <v>51722.07993735431</v>
      </c>
      <c r="P17" s="6" t="n">
        <v>-70880.86781350816</v>
      </c>
      <c r="Q17" s="6" t="n">
        <v>0</v>
      </c>
      <c r="R17" s="6" t="n">
        <v>19158.78787615384</v>
      </c>
      <c r="S17" t="inlineStr"/>
    </row>
    <row r="18">
      <c r="A18" t="inlineStr">
        <is>
          <t>S15</t>
        </is>
      </c>
      <c r="B18" t="inlineStr">
        <is>
          <t>Maple syrupUSDT (ERC-4626)</t>
        </is>
      </c>
      <c r="C18" t="inlineStr">
        <is>
          <t>ethereum</t>
        </is>
      </c>
      <c r="D18" t="inlineStr">
        <is>
          <t>B</t>
        </is>
      </c>
      <c r="E18" s="6" t="n">
        <v>55000541.20928549</v>
      </c>
      <c r="F18" s="6" t="n">
        <v>100001961.5815342</v>
      </c>
      <c r="G18" s="6" t="n">
        <v>45001420.37224875</v>
      </c>
      <c r="H18" s="6" t="n">
        <v>172403.0735875274</v>
      </c>
      <c r="I18" s="6" t="n">
        <v>0</v>
      </c>
      <c r="J18" s="6" t="n">
        <v>172403.0735875274</v>
      </c>
      <c r="K18" s="6" t="n">
        <v>0</v>
      </c>
      <c r="L18" s="6" t="n">
        <v>54328358.31940126</v>
      </c>
      <c r="M18" s="7" t="n">
        <v>1</v>
      </c>
      <c r="N18" s="6" t="n">
        <v>51136.24290264166</v>
      </c>
      <c r="O18" s="6" t="n">
        <v>51136.24290264166</v>
      </c>
      <c r="P18" s="6" t="n">
        <v>121266.8306848857</v>
      </c>
      <c r="Q18" s="6" t="n">
        <v>0</v>
      </c>
      <c r="R18" s="6" t="n">
        <v>0</v>
      </c>
      <c r="S18" t="inlineStr"/>
    </row>
    <row r="19">
      <c r="A19" t="inlineStr">
        <is>
          <t>S2</t>
        </is>
      </c>
      <c r="B19" t="inlineStr">
        <is>
          <t>Spark USDC (SparkLend spToken)</t>
        </is>
      </c>
      <c r="C19" t="inlineStr">
        <is>
          <t>ethereum</t>
        </is>
      </c>
      <c r="D19" t="inlineStr">
        <is>
          <t>C</t>
        </is>
      </c>
      <c r="E19" s="6" t="n">
        <v>47958113.065451</v>
      </c>
      <c r="F19" s="6" t="n">
        <v>37220.756204</v>
      </c>
      <c r="G19" s="6" t="n">
        <v>-47920892.309247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46412277.82966884</v>
      </c>
      <c r="M19" s="7" t="n">
        <v>1</v>
      </c>
      <c r="N19" s="6" t="n">
        <v>43685.27940435275</v>
      </c>
      <c r="O19" s="6" t="n">
        <v>43685.27940435275</v>
      </c>
      <c r="P19" s="6" t="n">
        <v>-43685.27940435275</v>
      </c>
      <c r="Q19" s="6" t="n">
        <v>0</v>
      </c>
      <c r="R19" s="6" t="n">
        <v>0</v>
      </c>
      <c r="S19" t="inlineStr"/>
    </row>
    <row r="20">
      <c r="A20" t="inlineStr">
        <is>
          <t>S9</t>
        </is>
      </c>
      <c r="B20" t="inlineStr">
        <is>
          <t>Aave Ethereum USDT (aToken)</t>
        </is>
      </c>
      <c r="C20" t="inlineStr">
        <is>
          <t>ethereum</t>
        </is>
      </c>
      <c r="D20" t="inlineStr">
        <is>
          <t>C</t>
        </is>
      </c>
      <c r="E20" s="6" t="n">
        <v>0</v>
      </c>
      <c r="F20" s="6" t="n">
        <v>495610843.871423</v>
      </c>
      <c r="G20" s="6" t="n">
        <v>495610843.871423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15987446.57649752</v>
      </c>
      <c r="M20" s="7" t="n">
        <v>1</v>
      </c>
      <c r="N20" s="6" t="n">
        <v>15048.0886376578</v>
      </c>
      <c r="O20" s="6" t="n">
        <v>15048.0886376578</v>
      </c>
      <c r="P20" s="6" t="n">
        <v>-15048.0886376578</v>
      </c>
      <c r="Q20" s="6" t="n">
        <v>0</v>
      </c>
      <c r="R20" s="6" t="n">
        <v>0</v>
      </c>
      <c r="S20" t="inlineStr"/>
    </row>
    <row r="21">
      <c r="A21" t="inlineStr">
        <is>
          <t>S18</t>
        </is>
      </c>
      <c r="B21" t="inlineStr">
        <is>
          <t>Arkis Spark Prime USDC 1 (ERC-4626)</t>
        </is>
      </c>
      <c r="C21" t="inlineStr">
        <is>
          <t>ethereum</t>
        </is>
      </c>
      <c r="D21" t="inlineStr">
        <is>
          <t>B</t>
        </is>
      </c>
      <c r="E21" s="6" t="n">
        <v>10113369.18090356</v>
      </c>
      <c r="F21" s="6" t="n">
        <v>10156910.09323084</v>
      </c>
      <c r="G21" s="6" t="n">
        <v>43540.91232727958</v>
      </c>
      <c r="H21" s="6" t="n">
        <v>43540.91232727958</v>
      </c>
      <c r="I21" s="6" t="n">
        <v>0</v>
      </c>
      <c r="J21" s="6" t="n">
        <v>43540.91232727958</v>
      </c>
      <c r="K21" s="6" t="n">
        <v>0</v>
      </c>
      <c r="L21" s="6" t="n">
        <v>10113369.18090356</v>
      </c>
      <c r="M21" s="7" t="n">
        <v>1</v>
      </c>
      <c r="N21" s="6" t="n">
        <v>9519.148360021234</v>
      </c>
      <c r="O21" s="6" t="n">
        <v>9519.148360021234</v>
      </c>
      <c r="P21" s="6" t="n">
        <v>34021.76396725834</v>
      </c>
      <c r="Q21" s="6" t="n">
        <v>0</v>
      </c>
      <c r="R21" s="6" t="n">
        <v>0</v>
      </c>
      <c r="S21" t="inlineStr"/>
    </row>
    <row r="22">
      <c r="A22" t="inlineStr">
        <is>
          <t>S54</t>
        </is>
      </c>
      <c r="B22" t="inlineStr">
        <is>
          <t>Aave Avalanche USDC (aAvaUSDC)</t>
        </is>
      </c>
      <c r="C22" t="inlineStr">
        <is>
          <t>avalanche_c</t>
        </is>
      </c>
      <c r="D22" t="inlineStr">
        <is>
          <t>C</t>
        </is>
      </c>
      <c r="E22" s="6" t="n">
        <v>10000143.505486</v>
      </c>
      <c r="F22" s="6" t="n">
        <v>10000122.636328</v>
      </c>
      <c r="G22" s="6" t="n">
        <v>-20.869158</v>
      </c>
      <c r="H22" s="6" t="n">
        <v>19310.411142</v>
      </c>
      <c r="I22" s="6" t="n">
        <v>0</v>
      </c>
      <c r="J22" s="6" t="n">
        <v>19310.411142</v>
      </c>
      <c r="K22" s="6" t="n">
        <v>0</v>
      </c>
      <c r="L22" s="6" t="n">
        <v>9999519.915798903</v>
      </c>
      <c r="M22" s="7" t="n">
        <v>1</v>
      </c>
      <c r="N22" s="6" t="n">
        <v>9411.98841897439</v>
      </c>
      <c r="O22" s="6" t="n">
        <v>9411.98841897439</v>
      </c>
      <c r="P22" s="6" t="n">
        <v>9898.422723025611</v>
      </c>
      <c r="Q22" s="6" t="n">
        <v>0</v>
      </c>
      <c r="R22" s="6" t="n">
        <v>0</v>
      </c>
      <c r="S22" t="inlineStr"/>
    </row>
    <row r="23">
      <c r="A23" t="inlineStr">
        <is>
          <t>S53</t>
        </is>
      </c>
      <c r="B23" t="inlineStr">
        <is>
          <t>USDC raw (Unichain — ALM idle)</t>
        </is>
      </c>
      <c r="C23" t="inlineStr">
        <is>
          <t>unichain</t>
        </is>
      </c>
      <c r="D23" t="inlineStr">
        <is>
          <t>A</t>
        </is>
      </c>
      <c r="E23" s="6" t="n">
        <v>4997665.827264</v>
      </c>
      <c r="F23" s="6" t="n">
        <v>4987120.646667</v>
      </c>
      <c r="G23" s="6" t="n">
        <v>-10545.180597</v>
      </c>
      <c r="H23" s="6" t="n">
        <v>3.225e-11</v>
      </c>
      <c r="I23" s="6" t="n">
        <v>0</v>
      </c>
      <c r="J23" s="6" t="n">
        <v>3.225e-11</v>
      </c>
      <c r="K23" s="6" t="n">
        <v>0</v>
      </c>
      <c r="L23" s="6" t="n">
        <v>4999233.117450742</v>
      </c>
      <c r="M23" s="7" t="n">
        <v>1</v>
      </c>
      <c r="N23" s="6" t="n">
        <v>4705.498324060329</v>
      </c>
      <c r="O23" s="6" t="n">
        <v>4705.498324060329</v>
      </c>
      <c r="P23" s="6" t="n">
        <v>-4705.498324060296</v>
      </c>
      <c r="Q23" s="6" t="n">
        <v>0</v>
      </c>
      <c r="R23" s="6" t="n">
        <v>0</v>
      </c>
      <c r="S23" t="inlineStr"/>
    </row>
    <row r="24">
      <c r="A24" t="inlineStr">
        <is>
          <t>S49</t>
        </is>
      </c>
      <c r="B24" t="inlineStr">
        <is>
          <t>USDC raw (Optimism — ALM idle)</t>
        </is>
      </c>
      <c r="C24" t="inlineStr">
        <is>
          <t>optimism</t>
        </is>
      </c>
      <c r="D24" t="inlineStr">
        <is>
          <t>A</t>
        </is>
      </c>
      <c r="E24" s="6" t="n">
        <v>5000000</v>
      </c>
      <c r="F24" s="6" t="n">
        <v>5000000</v>
      </c>
      <c r="G24" s="6" t="n">
        <v>0</v>
      </c>
      <c r="H24" s="6" t="n">
        <v>3.218e-09</v>
      </c>
      <c r="I24" s="6" t="n">
        <v>0</v>
      </c>
      <c r="J24" s="6" t="n">
        <v>3.218e-09</v>
      </c>
      <c r="K24" s="6" t="n">
        <v>0</v>
      </c>
      <c r="L24" s="6" t="n">
        <v>4991412.147209223</v>
      </c>
      <c r="M24" s="7" t="n">
        <v>1</v>
      </c>
      <c r="N24" s="6" t="n">
        <v>4698.136882515319</v>
      </c>
      <c r="O24" s="6" t="n">
        <v>4698.136882515319</v>
      </c>
      <c r="P24" s="6" t="n">
        <v>-4698.136882512101</v>
      </c>
      <c r="Q24" s="6" t="n">
        <v>0</v>
      </c>
      <c r="R24" s="6" t="n">
        <v>0</v>
      </c>
      <c r="S24" t="inlineStr"/>
    </row>
    <row r="25">
      <c r="A25" t="inlineStr">
        <is>
          <t>S39</t>
        </is>
      </c>
      <c r="B25" t="inlineStr">
        <is>
          <t>USDC raw (Base — ALM idle)</t>
        </is>
      </c>
      <c r="C25" t="inlineStr">
        <is>
          <t>base</t>
        </is>
      </c>
      <c r="D25" t="inlineStr">
        <is>
          <t>A</t>
        </is>
      </c>
      <c r="E25" s="6" t="n">
        <v>5000000</v>
      </c>
      <c r="F25" s="6" t="n">
        <v>4997775.722557</v>
      </c>
      <c r="G25" s="6" t="n">
        <v>-2224.277443</v>
      </c>
      <c r="H25" s="6" t="n">
        <v>1.3225e-09</v>
      </c>
      <c r="I25" s="6" t="n">
        <v>0</v>
      </c>
      <c r="J25" s="6" t="n">
        <v>1.3225e-09</v>
      </c>
      <c r="K25" s="6" t="n">
        <v>0</v>
      </c>
      <c r="L25" s="6" t="n">
        <v>4983312.81205645</v>
      </c>
      <c r="M25" s="7" t="n">
        <v>1</v>
      </c>
      <c r="N25" s="6" t="n">
        <v>4690.513431659558</v>
      </c>
      <c r="O25" s="6" t="n">
        <v>4690.513431659558</v>
      </c>
      <c r="P25" s="6" t="n">
        <v>-4690.513431658235</v>
      </c>
      <c r="Q25" s="6" t="n">
        <v>0</v>
      </c>
      <c r="R25" s="6" t="n">
        <v>0</v>
      </c>
      <c r="S25" t="inlineStr"/>
    </row>
    <row r="26">
      <c r="A26" t="inlineStr">
        <is>
          <t>S45</t>
        </is>
      </c>
      <c r="B26" t="inlineStr">
        <is>
          <t>USDC raw (Arbitrum — ALM idle)</t>
        </is>
      </c>
      <c r="C26" t="inlineStr">
        <is>
          <t>arbitrum</t>
        </is>
      </c>
      <c r="D26" t="inlineStr">
        <is>
          <t>A</t>
        </is>
      </c>
      <c r="E26" s="6" t="n">
        <v>4983790.597531</v>
      </c>
      <c r="F26" s="6" t="n">
        <v>4442753.639281</v>
      </c>
      <c r="G26" s="6" t="n">
        <v>-541036.95825</v>
      </c>
      <c r="H26" s="6" t="n">
        <v>-1.663e-08</v>
      </c>
      <c r="I26" s="6" t="n">
        <v>0</v>
      </c>
      <c r="J26" s="6" t="n">
        <v>-1.663e-08</v>
      </c>
      <c r="K26" s="6" t="n">
        <v>0</v>
      </c>
      <c r="L26" s="6" t="n">
        <v>4975726.070058748</v>
      </c>
      <c r="M26" s="7" t="n">
        <v>1</v>
      </c>
      <c r="N26" s="6" t="n">
        <v>4683.372456050589</v>
      </c>
      <c r="O26" s="6" t="n">
        <v>4683.372456050589</v>
      </c>
      <c r="P26" s="6" t="n">
        <v>-4683.372456067219</v>
      </c>
      <c r="Q26" s="6" t="n">
        <v>0</v>
      </c>
      <c r="R26" s="6" t="n">
        <v>0</v>
      </c>
      <c r="S26" t="inlineStr"/>
    </row>
    <row r="27">
      <c r="A27" t="inlineStr">
        <is>
          <t>S10</t>
        </is>
      </c>
      <c r="B27" t="inlineStr">
        <is>
          <t>Spark Blue Chip USDC Vault (Morpho)</t>
        </is>
      </c>
      <c r="C27" t="inlineStr">
        <is>
          <t>ethereum</t>
        </is>
      </c>
      <c r="D27" t="inlineStr">
        <is>
          <t>B</t>
        </is>
      </c>
      <c r="E27" s="6" t="n">
        <v>977613.8365042645</v>
      </c>
      <c r="F27" s="6" t="n">
        <v>977119.890305955</v>
      </c>
      <c r="G27" s="6" t="n">
        <v>-493.9461983095568</v>
      </c>
      <c r="H27" s="6" t="n">
        <v>4849.497356413308</v>
      </c>
      <c r="I27" s="6" t="n">
        <v>0</v>
      </c>
      <c r="J27" s="6" t="n">
        <v>4849.497356413308</v>
      </c>
      <c r="K27" s="6" t="n">
        <v>0</v>
      </c>
      <c r="L27" s="6" t="n">
        <v>1717843.021793645</v>
      </c>
      <c r="M27" s="7" t="n">
        <v>1</v>
      </c>
      <c r="N27" s="6" t="n">
        <v>1616.909487943752</v>
      </c>
      <c r="O27" s="6" t="n">
        <v>1616.909487943752</v>
      </c>
      <c r="P27" s="6" t="n">
        <v>3232.587868469556</v>
      </c>
      <c r="Q27" s="6" t="n">
        <v>0</v>
      </c>
      <c r="R27" s="6" t="n">
        <v>0</v>
      </c>
      <c r="S27" t="inlineStr"/>
    </row>
    <row r="28">
      <c r="A28" t="inlineStr">
        <is>
          <t>S51</t>
        </is>
      </c>
      <c r="B28" t="inlineStr">
        <is>
          <t>Savings USDS / sUSDS proxy (Unichain — POL)</t>
        </is>
      </c>
      <c r="C28" t="inlineStr">
        <is>
          <t>unichain</t>
        </is>
      </c>
      <c r="D28" t="inlineStr">
        <is>
          <t>B</t>
        </is>
      </c>
      <c r="E28" s="6" t="n">
        <v>976348.3873033939</v>
      </c>
      <c r="F28" s="6" t="n">
        <v>979461.8988048178</v>
      </c>
      <c r="G28" s="6" t="n">
        <v>3113.511501423833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976348.3873033939</v>
      </c>
      <c r="M28" s="7" t="n">
        <v>1</v>
      </c>
      <c r="N28" s="6" t="n">
        <v>918.9820902966508</v>
      </c>
      <c r="O28" s="6" t="n">
        <v>670.585259486086</v>
      </c>
      <c r="P28" s="6" t="n">
        <v>-918.9820902966508</v>
      </c>
      <c r="Q28" s="6" t="n">
        <v>0</v>
      </c>
      <c r="R28" s="6" t="n">
        <v>248.3968308105648</v>
      </c>
      <c r="S28" t="inlineStr"/>
    </row>
    <row r="29">
      <c r="A29" t="inlineStr">
        <is>
          <t>S59</t>
        </is>
      </c>
      <c r="B29" t="inlineStr">
        <is>
          <t>Spark Savings V2 — spPYUSD vault</t>
        </is>
      </c>
      <c r="C29" t="inlineStr">
        <is>
          <t>ethereum</t>
        </is>
      </c>
      <c r="D29" t="inlineStr">
        <is>
          <t>S2</t>
        </is>
      </c>
      <c r="E29" s="6" t="n">
        <v>94443.720094</v>
      </c>
      <c r="F29" s="6" t="n">
        <v>504861.558051</v>
      </c>
      <c r="G29" s="6" t="n">
        <v>410417.837957</v>
      </c>
      <c r="H29" s="6" t="n">
        <v>-1245.293808066253</v>
      </c>
      <c r="I29" s="6" t="n">
        <v>0</v>
      </c>
      <c r="J29" s="6" t="n">
        <v>-1245.293808066253</v>
      </c>
      <c r="K29" s="6" t="n">
        <v>0</v>
      </c>
      <c r="L29" s="6" t="n">
        <v>94443.720094</v>
      </c>
      <c r="M29" s="7" t="n">
        <v>1</v>
      </c>
      <c r="N29" s="6" t="n">
        <v>88.89458766566881</v>
      </c>
      <c r="O29" s="6" t="n">
        <v>88.89458766566881</v>
      </c>
      <c r="P29" s="6" t="n">
        <v>-1334.188395731922</v>
      </c>
      <c r="Q29" s="6" t="n">
        <v>0</v>
      </c>
      <c r="R29" s="6" t="n">
        <v>0</v>
      </c>
      <c r="S29" t="inlineStr"/>
    </row>
    <row r="30">
      <c r="A30" t="inlineStr">
        <is>
          <t>S11</t>
        </is>
      </c>
      <c r="B30" t="inlineStr">
        <is>
          <t>Spark Blue Chip USDT Vault (Morpho V2)</t>
        </is>
      </c>
      <c r="C30" t="inlineStr">
        <is>
          <t>ethereum</t>
        </is>
      </c>
      <c r="D30" t="inlineStr">
        <is>
          <t>B</t>
        </is>
      </c>
      <c r="E30" s="6" t="n">
        <v>0</v>
      </c>
      <c r="F30" s="6" t="n">
        <v>40001.50457793332</v>
      </c>
      <c r="G30" s="6" t="n">
        <v>40001.50457793332</v>
      </c>
      <c r="H30" s="6" t="n">
        <v>3.480000000005129</v>
      </c>
      <c r="I30" s="6" t="n">
        <v>0</v>
      </c>
      <c r="J30" s="6" t="n">
        <v>3.480000000005129</v>
      </c>
      <c r="K30" s="6" t="n">
        <v>0</v>
      </c>
      <c r="L30" s="6" t="n">
        <v>2580.581437997849</v>
      </c>
      <c r="M30" s="7" t="n">
        <v>1</v>
      </c>
      <c r="N30" s="6" t="n">
        <v>2.428956871247506</v>
      </c>
      <c r="O30" s="6" t="n">
        <v>2.428956871247506</v>
      </c>
      <c r="P30" s="6" t="n">
        <v>1.051043128757623</v>
      </c>
      <c r="Q30" s="6" t="n">
        <v>0</v>
      </c>
      <c r="R30" s="6" t="n">
        <v>0</v>
      </c>
      <c r="S30" t="inlineStr"/>
    </row>
    <row r="31">
      <c r="A31" t="inlineStr">
        <is>
          <t>S34</t>
        </is>
      </c>
      <c r="B31" t="inlineStr">
        <is>
          <t>Spark USDC Vault (Morpho, Base)</t>
        </is>
      </c>
      <c r="C31" t="inlineStr">
        <is>
          <t>base</t>
        </is>
      </c>
      <c r="D31" t="inlineStr">
        <is>
          <t>B</t>
        </is>
      </c>
      <c r="E31" s="6" t="n">
        <v>494.7150552250027</v>
      </c>
      <c r="F31" s="6" t="n">
        <v>427.8972157084487</v>
      </c>
      <c r="G31" s="6" t="n">
        <v>-66.81783951655405</v>
      </c>
      <c r="H31" s="6" t="n">
        <v>1.29454480160933</v>
      </c>
      <c r="I31" s="6" t="n">
        <v>0</v>
      </c>
      <c r="J31" s="6" t="n">
        <v>1.29454480160933</v>
      </c>
      <c r="K31" s="6" t="n">
        <v>0</v>
      </c>
      <c r="L31" s="6" t="n">
        <v>458.062434320099</v>
      </c>
      <c r="M31" s="7" t="n">
        <v>1</v>
      </c>
      <c r="N31" s="6" t="n">
        <v>0.4311485314586267</v>
      </c>
      <c r="O31" s="6" t="n">
        <v>0.4311485314586267</v>
      </c>
      <c r="P31" s="6" t="n">
        <v>0.8633962701507031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344.9608587271188</v>
      </c>
      <c r="F32" s="6" t="n">
        <v>359.9872090112888</v>
      </c>
      <c r="G32" s="6" t="n">
        <v>15.02635028417003</v>
      </c>
      <c r="H32" s="6" t="n">
        <v>0.9534365097586575</v>
      </c>
      <c r="I32" s="6" t="n">
        <v>0</v>
      </c>
      <c r="J32" s="6" t="n">
        <v>0.9534365097586575</v>
      </c>
      <c r="K32" s="6" t="n">
        <v>0</v>
      </c>
      <c r="L32" s="6" t="n">
        <v>345.4148236875836</v>
      </c>
      <c r="M32" s="7" t="n">
        <v>1</v>
      </c>
      <c r="N32" s="6" t="n">
        <v>0.3251196405092492</v>
      </c>
      <c r="O32" s="6" t="n">
        <v>0.3251196405092492</v>
      </c>
      <c r="P32" s="6" t="n">
        <v>0.6283168692494082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0.2672165904858601</v>
      </c>
      <c r="O33" s="6" t="n">
        <v>0.2672165904858601</v>
      </c>
      <c r="P33" s="6" t="n">
        <v>-0.2672165904858601</v>
      </c>
      <c r="Q33" s="6" t="n">
        <v>0</v>
      </c>
      <c r="R33" s="6" t="n">
        <v>0</v>
      </c>
      <c r="S33" t="inlineStr"/>
    </row>
    <row r="34">
      <c r="A34" t="inlineStr">
        <is>
          <t>S55</t>
        </is>
      </c>
      <c r="B34" t="inlineStr">
        <is>
          <t>USDC raw (Avalanche-C — ALM idle)</t>
        </is>
      </c>
      <c r="C34" t="inlineStr">
        <is>
          <t>avalanche_c</t>
        </is>
      </c>
      <c r="D34" t="inlineStr">
        <is>
          <t>A</t>
        </is>
      </c>
      <c r="E34" s="6" t="n">
        <v>0</v>
      </c>
      <c r="F34" s="6" t="n">
        <v>10.263802</v>
      </c>
      <c r="G34" s="6" t="n">
        <v>10.263802</v>
      </c>
      <c r="H34" s="6" t="n">
        <v>-2.0038e-09</v>
      </c>
      <c r="I34" s="6" t="n">
        <v>0</v>
      </c>
      <c r="J34" s="6" t="n">
        <v>-2.0038e-09</v>
      </c>
      <c r="K34" s="6" t="n">
        <v>0</v>
      </c>
      <c r="L34" s="6" t="n">
        <v>220.7452180964028</v>
      </c>
      <c r="M34" s="7" t="n">
        <v>1</v>
      </c>
      <c r="N34" s="6" t="n">
        <v>0.2077751185819131</v>
      </c>
      <c r="O34" s="6" t="n">
        <v>0.2077751185819131</v>
      </c>
      <c r="P34" s="6" t="n">
        <v>-0.2077751205857131</v>
      </c>
      <c r="Q34" s="6" t="n">
        <v>0</v>
      </c>
      <c r="R34" s="6" t="n">
        <v>0</v>
      </c>
      <c r="S34" t="inlineStr"/>
    </row>
    <row r="35">
      <c r="A35" t="inlineStr">
        <is>
          <t>S16</t>
        </is>
      </c>
      <c r="B35" t="inlineStr">
        <is>
          <t>Ethena Staked USDe (sUSDe)</t>
        </is>
      </c>
      <c r="C35" t="inlineStr">
        <is>
          <t>ethereum</t>
        </is>
      </c>
      <c r="D35" t="inlineStr">
        <is>
          <t>B</t>
        </is>
      </c>
      <c r="E35" s="6" t="n">
        <v>98.88131626312872</v>
      </c>
      <c r="F35" s="6" t="n">
        <v>99.16991404040614</v>
      </c>
      <c r="G35" s="6" t="n">
        <v>0.2885977772774213</v>
      </c>
      <c r="H35" s="6" t="n">
        <v>0.2885977772774213</v>
      </c>
      <c r="I35" s="6" t="n">
        <v>0</v>
      </c>
      <c r="J35" s="6" t="n">
        <v>0.2885977772774213</v>
      </c>
      <c r="K35" s="6" t="n">
        <v>0</v>
      </c>
      <c r="L35" s="6" t="n">
        <v>98.88131626312872</v>
      </c>
      <c r="M35" s="7" t="n">
        <v>1</v>
      </c>
      <c r="N35" s="6" t="n">
        <v>0.09307144856535408</v>
      </c>
      <c r="O35" s="6" t="n">
        <v>0.09307144856535408</v>
      </c>
      <c r="P35" s="6" t="n">
        <v>0.1955263287120672</v>
      </c>
      <c r="Q35" s="6" t="n">
        <v>0</v>
      </c>
      <c r="R35" s="6" t="n">
        <v>0</v>
      </c>
      <c r="S35" t="inlineStr"/>
    </row>
    <row r="36">
      <c r="A36" t="inlineStr">
        <is>
          <t>S27</t>
        </is>
      </c>
      <c r="B36" t="inlineStr">
        <is>
          <t>USDT raw (ALM idle — $442M as of 2026-04)</t>
        </is>
      </c>
      <c r="C36" t="inlineStr">
        <is>
          <t>ethereum</t>
        </is>
      </c>
      <c r="D36" t="inlineStr">
        <is>
          <t>A</t>
        </is>
      </c>
      <c r="E36" s="6" t="n">
        <v>1868.74164</v>
      </c>
      <c r="F36" s="6" t="n">
        <v>0</v>
      </c>
      <c r="G36" s="6" t="n">
        <v>-1868.74164</v>
      </c>
      <c r="H36" s="6" t="n">
        <v>-5.583040730011e-08</v>
      </c>
      <c r="I36" s="6" t="n">
        <v>0</v>
      </c>
      <c r="J36" s="6" t="n">
        <v>-5.583040730011e-08</v>
      </c>
      <c r="K36" s="6" t="n">
        <v>0</v>
      </c>
      <c r="L36" s="6" t="n">
        <v>49.19685112472924</v>
      </c>
      <c r="M36" s="7" t="n">
        <v>1</v>
      </c>
      <c r="N36" s="6" t="n">
        <v>0.04630624239313438</v>
      </c>
      <c r="O36" s="6" t="n">
        <v>0.04630624239313438</v>
      </c>
      <c r="P36" s="6" t="n">
        <v>-0.04630629822354168</v>
      </c>
      <c r="Q36" s="6" t="n">
        <v>0</v>
      </c>
      <c r="R36" s="6" t="n">
        <v>0</v>
      </c>
      <c r="S36" t="inlineStr"/>
    </row>
    <row r="37">
      <c r="A37" t="inlineStr">
        <is>
          <t>S13</t>
        </is>
      </c>
      <c r="B37" t="inlineStr">
        <is>
          <t>Spark USDS Vault (Morpho)</t>
        </is>
      </c>
      <c r="C37" t="inlineStr">
        <is>
          <t>ethereum</t>
        </is>
      </c>
      <c r="D37" t="inlineStr">
        <is>
          <t>B</t>
        </is>
      </c>
      <c r="E37" s="6" t="n">
        <v>21.90659475982325</v>
      </c>
      <c r="F37" s="6" t="n">
        <v>21.9066008120297</v>
      </c>
      <c r="G37" s="6" t="n">
        <v>6.052206450123245e-06</v>
      </c>
      <c r="H37" s="6" t="n">
        <v>6.052206450123245e-06</v>
      </c>
      <c r="I37" s="6" t="n">
        <v>0</v>
      </c>
      <c r="J37" s="6" t="n">
        <v>6.052206450123245e-06</v>
      </c>
      <c r="K37" s="6" t="n">
        <v>0</v>
      </c>
      <c r="L37" s="6" t="n">
        <v>21.90659475982325</v>
      </c>
      <c r="M37" s="7" t="n">
        <v>1</v>
      </c>
      <c r="N37" s="6" t="n">
        <v>0.02061945152515339</v>
      </c>
      <c r="O37" s="6" t="n">
        <v>0.02061945152515339</v>
      </c>
      <c r="P37" s="6" t="n">
        <v>-0.02061339931870327</v>
      </c>
      <c r="Q37" s="6" t="n">
        <v>0</v>
      </c>
      <c r="R37" s="6" t="n">
        <v>0</v>
      </c>
      <c r="S37" t="inlineStr"/>
    </row>
    <row r="38">
      <c r="A38" t="inlineStr">
        <is>
          <t>S23</t>
        </is>
      </c>
      <c r="B38" t="inlineStr">
        <is>
          <t>Anchorage tri-party loan escrow (USDC pass-through, ~$0 balance)</t>
        </is>
      </c>
      <c r="C38" t="inlineStr">
        <is>
          <t>ethereum</t>
        </is>
      </c>
      <c r="D38" t="inlineStr">
        <is>
          <t>E</t>
        </is>
      </c>
      <c r="E38" s="6" t="n">
        <v>1.210594</v>
      </c>
      <c r="F38" s="6" t="n">
        <v>133501.211399</v>
      </c>
      <c r="G38" s="6" t="n">
        <v>133500.000805</v>
      </c>
      <c r="H38" s="6" t="n">
        <v>133500.000805</v>
      </c>
      <c r="I38" s="6" t="n">
        <v>0</v>
      </c>
      <c r="J38" s="6" t="n">
        <v>133500.000805</v>
      </c>
      <c r="K38" s="6" t="n">
        <v>0</v>
      </c>
      <c r="L38" s="6" t="n">
        <v>1.210594</v>
      </c>
      <c r="M38" s="7" t="n">
        <v>1</v>
      </c>
      <c r="N38" s="6" t="n">
        <v>0.001139464374692388</v>
      </c>
      <c r="O38" s="6" t="n">
        <v>0.001139464374692388</v>
      </c>
      <c r="P38" s="6" t="n">
        <v>133499.9996655356</v>
      </c>
      <c r="Q38" s="6" t="n">
        <v>0</v>
      </c>
      <c r="R38" s="6" t="n">
        <v>0</v>
      </c>
      <c r="S38" t="inlineStr"/>
    </row>
    <row r="39">
      <c r="A39" t="inlineStr">
        <is>
          <t>S8</t>
        </is>
      </c>
      <c r="B39" t="inlineStr">
        <is>
          <t>Aave Ethereum USDC (aToken)</t>
        </is>
      </c>
      <c r="C39" t="inlineStr">
        <is>
          <t>ethereum</t>
        </is>
      </c>
      <c r="D39" t="inlineStr">
        <is>
          <t>C</t>
        </is>
      </c>
      <c r="E39" s="6" t="n">
        <v>0.057463</v>
      </c>
      <c r="F39" s="6" t="n">
        <v>0.05756</v>
      </c>
      <c r="G39" s="6" t="n">
        <v>9.7e-05</v>
      </c>
      <c r="H39" s="6" t="n">
        <v>9.7e-05</v>
      </c>
      <c r="I39" s="6" t="n">
        <v>0</v>
      </c>
      <c r="J39" s="6" t="n">
        <v>9.7e-05</v>
      </c>
      <c r="K39" s="6" t="n">
        <v>0</v>
      </c>
      <c r="L39" s="6" t="n">
        <v>0.057463</v>
      </c>
      <c r="M39" s="7" t="n">
        <v>1</v>
      </c>
      <c r="N39" s="6" t="n">
        <v>5.408670566924065e-05</v>
      </c>
      <c r="O39" s="6" t="n">
        <v>5.408670566924065e-05</v>
      </c>
      <c r="P39" s="6" t="n">
        <v>4.291329433075935e-05</v>
      </c>
      <c r="Q39" s="6" t="n">
        <v>0</v>
      </c>
      <c r="R39" s="6" t="n">
        <v>0</v>
      </c>
      <c r="S39" t="inlineStr"/>
    </row>
    <row r="40">
      <c r="A40" t="inlineStr">
        <is>
          <t>S41</t>
        </is>
      </c>
      <c r="B40" t="inlineStr">
        <is>
          <t>Aave Arbitrum USDCn (aArbUSDCn)</t>
        </is>
      </c>
      <c r="C40" t="inlineStr">
        <is>
          <t>arbitrum</t>
        </is>
      </c>
      <c r="D40" t="inlineStr">
        <is>
          <t>C</t>
        </is>
      </c>
      <c r="E40" s="6" t="n">
        <v>0.006319</v>
      </c>
      <c r="F40" s="6" t="n">
        <v>0.006327</v>
      </c>
      <c r="G40" s="6" t="n">
        <v>8e-06</v>
      </c>
      <c r="H40" s="6" t="n">
        <v>8e-06</v>
      </c>
      <c r="I40" s="6" t="n">
        <v>0</v>
      </c>
      <c r="J40" s="6" t="n">
        <v>8e-06</v>
      </c>
      <c r="K40" s="6" t="n">
        <v>0</v>
      </c>
      <c r="L40" s="6" t="n">
        <v>0.006319</v>
      </c>
      <c r="M40" s="7" t="n">
        <v>1</v>
      </c>
      <c r="N40" s="6" t="n">
        <v>5.947721022639467e-06</v>
      </c>
      <c r="O40" s="6" t="n">
        <v>5.947721022639467e-06</v>
      </c>
      <c r="P40" s="6" t="n">
        <v>2.052278977360533e-06</v>
      </c>
      <c r="Q40" s="6" t="n">
        <v>0</v>
      </c>
      <c r="R40" s="6" t="n">
        <v>0</v>
      </c>
      <c r="S40" t="inlineStr"/>
    </row>
    <row r="41">
      <c r="A41" t="inlineStr">
        <is>
          <t>S7</t>
        </is>
      </c>
      <c r="B41" t="inlineStr">
        <is>
          <t>Aave Ethereum USDS (aToken)</t>
        </is>
      </c>
      <c r="C41" t="inlineStr">
        <is>
          <t>ethereum</t>
        </is>
      </c>
      <c r="D41" t="inlineStr">
        <is>
          <t>C</t>
        </is>
      </c>
      <c r="E41" s="6" t="n">
        <v>0.005740696354252308</v>
      </c>
      <c r="F41" s="6" t="n">
        <v>0.005741176637971351</v>
      </c>
      <c r="G41" s="6" t="n">
        <v>4.802837190430001e-07</v>
      </c>
      <c r="H41" s="6" t="n">
        <v>4.802837190430001e-07</v>
      </c>
      <c r="I41" s="6" t="n">
        <v>0</v>
      </c>
      <c r="J41" s="6" t="n">
        <v>4.802837190430001e-07</v>
      </c>
      <c r="K41" s="6" t="n">
        <v>0</v>
      </c>
      <c r="L41" s="6" t="n">
        <v>0.005740696354252308</v>
      </c>
      <c r="M41" s="7" t="n">
        <v>1</v>
      </c>
      <c r="N41" s="6" t="n">
        <v>5.403396168820414e-06</v>
      </c>
      <c r="O41" s="6" t="n">
        <v>5.403396168820414e-06</v>
      </c>
      <c r="P41" s="6" t="n">
        <v>-4.923112449777414e-06</v>
      </c>
      <c r="Q41" s="6" t="n">
        <v>0</v>
      </c>
      <c r="R41" s="6" t="n">
        <v>0</v>
      </c>
      <c r="S41" t="inlineStr"/>
    </row>
    <row r="42">
      <c r="A42" t="inlineStr">
        <is>
          <t>S35</t>
        </is>
      </c>
      <c r="B42" t="inlineStr">
        <is>
          <t>Aave Base USDC (aBasUSDC)</t>
        </is>
      </c>
      <c r="C42" t="inlineStr">
        <is>
          <t>base</t>
        </is>
      </c>
      <c r="D42" t="inlineStr">
        <is>
          <t>C</t>
        </is>
      </c>
      <c r="E42" s="6" t="n">
        <v>0.001692</v>
      </c>
      <c r="F42" s="6" t="n">
        <v>0.001696</v>
      </c>
      <c r="G42" s="6" t="n">
        <v>4e-06</v>
      </c>
      <c r="H42" s="6" t="n">
        <v>4e-06</v>
      </c>
      <c r="I42" s="6" t="n">
        <v>0</v>
      </c>
      <c r="J42" s="6" t="n">
        <v>4e-06</v>
      </c>
      <c r="K42" s="6" t="n">
        <v>0</v>
      </c>
      <c r="L42" s="6" t="n">
        <v>0.001692</v>
      </c>
      <c r="M42" s="7" t="n">
        <v>1</v>
      </c>
      <c r="N42" s="6" t="n">
        <v>1.592584897975309e-06</v>
      </c>
      <c r="O42" s="6" t="n">
        <v>1.592584897975309e-06</v>
      </c>
      <c r="P42" s="6" t="n">
        <v>2.407415102024691e-06</v>
      </c>
      <c r="Q42" s="6" t="n">
        <v>0</v>
      </c>
      <c r="R42" s="6" t="n">
        <v>0</v>
      </c>
      <c r="S42" t="inlineStr"/>
    </row>
    <row r="43">
      <c r="A43" t="inlineStr">
        <is>
          <t>S17</t>
        </is>
      </c>
      <c r="B43" t="inlineStr">
        <is>
          <t>Fluid Savings USDS (fsUSDS)</t>
        </is>
      </c>
      <c r="C43" t="inlineStr">
        <is>
          <t>ethereum</t>
        </is>
      </c>
      <c r="D43" t="inlineStr">
        <is>
          <t>B</t>
        </is>
      </c>
      <c r="E43" s="6" t="n">
        <v>0.001240144670509943</v>
      </c>
      <c r="F43" s="6" t="n">
        <v>0.001240144670509943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0.001240144670509943</v>
      </c>
      <c r="M43" s="7" t="n">
        <v>1</v>
      </c>
      <c r="N43" s="6" t="n">
        <v>1.167278766878665e-06</v>
      </c>
      <c r="O43" s="6" t="n">
        <v>1.167278766878665e-06</v>
      </c>
      <c r="P43" s="6" t="n">
        <v>-1.167278766878665e-06</v>
      </c>
      <c r="Q43" s="6" t="n">
        <v>0</v>
      </c>
      <c r="R43" s="6" t="n">
        <v>0</v>
      </c>
      <c r="S43" t="inlineStr"/>
    </row>
    <row r="44">
      <c r="A44" t="inlineStr">
        <is>
          <t>S6</t>
        </is>
      </c>
      <c r="B44" t="inlineStr">
        <is>
          <t>Aave Ethereum Lido USDS (aToken)</t>
        </is>
      </c>
      <c r="C44" t="inlineStr">
        <is>
          <t>ethereum</t>
        </is>
      </c>
      <c r="D44" t="inlineStr">
        <is>
          <t>C</t>
        </is>
      </c>
      <c r="E44" s="6" t="n">
        <v>0.000519245328957253</v>
      </c>
      <c r="F44" s="6" t="n">
        <v>0.000520158110250329</v>
      </c>
      <c r="G44" s="6" t="n">
        <v>9.12781293076e-07</v>
      </c>
      <c r="H44" s="6" t="n">
        <v>9.12781293075e-07</v>
      </c>
      <c r="I44" s="6" t="n">
        <v>0</v>
      </c>
      <c r="J44" s="6" t="n">
        <v>9.12781293075e-07</v>
      </c>
      <c r="K44" s="6" t="n">
        <v>0</v>
      </c>
      <c r="L44" s="6" t="n">
        <v>0.000519245328957253</v>
      </c>
      <c r="M44" s="7" t="n">
        <v>1</v>
      </c>
      <c r="N44" s="6" t="n">
        <v>4.887365657455925e-07</v>
      </c>
      <c r="O44" s="6" t="n">
        <v>4.887365657455925e-07</v>
      </c>
      <c r="P44" s="6" t="n">
        <v>4.240447273294075e-07</v>
      </c>
      <c r="Q44" s="6" t="n">
        <v>0</v>
      </c>
      <c r="R44" s="6" t="n">
        <v>0</v>
      </c>
      <c r="S44" t="inlineStr"/>
    </row>
    <row r="45">
      <c r="A45" t="inlineStr">
        <is>
          <t>S30</t>
        </is>
      </c>
      <c r="B45" t="inlineStr">
        <is>
          <t>USDe raw (ALM idle)</t>
        </is>
      </c>
      <c r="C45" t="inlineStr">
        <is>
          <t>ethereum</t>
        </is>
      </c>
      <c r="D45" t="inlineStr">
        <is>
          <t>A</t>
        </is>
      </c>
      <c r="E45" s="6" t="n">
        <v>7.4896275897803e-05</v>
      </c>
      <c r="F45" s="6" t="n">
        <v>7.4896275897803e-05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7.4896275897803e-05</v>
      </c>
      <c r="M45" s="7" t="n">
        <v>1</v>
      </c>
      <c r="N45" s="6" t="n">
        <v>7.049567252330566e-08</v>
      </c>
      <c r="O45" s="6" t="n">
        <v>7.049567252330566e-08</v>
      </c>
      <c r="P45" s="6" t="n">
        <v>-7.049567252330566e-08</v>
      </c>
      <c r="Q45" s="6" t="n">
        <v>0</v>
      </c>
      <c r="R45" s="6" t="n">
        <v>0</v>
      </c>
      <c r="S45" t="inlineStr"/>
    </row>
    <row r="46">
      <c r="A46" t="inlineStr">
        <is>
          <t>S19</t>
        </is>
      </c>
      <c r="B46" t="inlineStr">
        <is>
          <t>BlackRock USD Institutional Digital Liquidity Fund (BUIDL-I)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S20</t>
        </is>
      </c>
      <c r="B47" t="inlineStr">
        <is>
          <t>Janus Henderson Anemoy Treasury Fund (JTRSY)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S21</t>
        </is>
      </c>
      <c r="B48" t="inlineStr">
        <is>
          <t>Superstate Short Duration US Government Securities Fund (USTB)</t>
        </is>
      </c>
      <c r="C48" t="inlineStr">
        <is>
          <t>ethereum</t>
        </is>
      </c>
      <c r="D48" t="inlineStr">
        <is>
          <t>E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>
        <is>
          <t>SDE (fixed)</t>
        </is>
      </c>
    </row>
    <row r="49">
      <c r="A49" t="inlineStr">
        <is>
          <t>S22</t>
        </is>
      </c>
      <c r="B49" t="inlineStr">
        <is>
          <t>Superstate Crypto Carry Fund (USCC)</t>
        </is>
      </c>
      <c r="C49" t="inlineStr">
        <is>
          <t>ethereum</t>
        </is>
      </c>
      <c r="D49" t="inlineStr">
        <is>
          <t>E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S26</t>
        </is>
      </c>
      <c r="B50" t="inlineStr">
        <is>
          <t>USDC raw (ALM idle)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805478.9999998595</v>
      </c>
      <c r="I50" s="6" t="n">
        <v>0</v>
      </c>
      <c r="J50" s="6" t="n">
        <v>805478.9999998595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805478.9999998595</v>
      </c>
      <c r="Q50" s="6" t="n">
        <v>0</v>
      </c>
      <c r="R50" s="6" t="n">
        <v>0</v>
      </c>
      <c r="S50" t="inlineStr"/>
    </row>
    <row r="51">
      <c r="A51" t="inlineStr">
        <is>
          <t>S29</t>
        </is>
      </c>
      <c r="B51" t="inlineStr">
        <is>
          <t>DAI raw (ALM idle)</t>
        </is>
      </c>
      <c r="C51" t="inlineStr">
        <is>
          <t>ethereum</t>
        </is>
      </c>
      <c r="D51" t="inlineStr">
        <is>
          <t>A</t>
        </is>
      </c>
      <c r="E51" s="6" t="n">
        <v>0</v>
      </c>
      <c r="F51" s="6" t="n">
        <v>0</v>
      </c>
      <c r="G51" s="6" t="n">
        <v>0</v>
      </c>
      <c r="H51" s="6" t="n">
        <v>1.16184e-08</v>
      </c>
      <c r="I51" s="6" t="n">
        <v>0</v>
      </c>
      <c r="J51" s="6" t="n">
        <v>1.16184e-08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1.16184e-08</v>
      </c>
      <c r="Q51" s="6" t="n">
        <v>0</v>
      </c>
      <c r="R51" s="6" t="n">
        <v>0</v>
      </c>
      <c r="S51" t="inlineStr"/>
    </row>
    <row r="52">
      <c r="A52" t="inlineStr">
        <is>
          <t>S31</t>
        </is>
      </c>
      <c r="B52" t="inlineStr">
        <is>
          <t>USDS raw / POL (ALM idle — already netted out of utilized)</t>
        </is>
      </c>
      <c r="C52" t="inlineStr">
        <is>
          <t>ethereum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6.37405e-09</v>
      </c>
      <c r="I52" s="6" t="n">
        <v>0</v>
      </c>
      <c r="J52" s="6" t="n">
        <v>6.37405e-09</v>
      </c>
      <c r="K52" s="6" t="n">
        <v>0</v>
      </c>
      <c r="L52" s="6" t="n">
        <v>0</v>
      </c>
      <c r="M52" s="7" t="n">
        <v>0</v>
      </c>
      <c r="N52" s="6" t="n">
        <v>0</v>
      </c>
      <c r="O52" s="6" t="n">
        <v>0</v>
      </c>
      <c r="P52" s="6" t="n">
        <v>6.37405e-09</v>
      </c>
      <c r="Q52" s="6" t="n">
        <v>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S38</t>
        </is>
      </c>
      <c r="B53" t="inlineStr">
        <is>
          <t>USDS raw (Base — POL)</t>
        </is>
      </c>
      <c r="C53" t="inlineStr">
        <is>
          <t>base</t>
        </is>
      </c>
      <c r="D53" t="inlineStr">
        <is>
          <t>A</t>
        </is>
      </c>
      <c r="E53" s="6" t="n">
        <v>65170000</v>
      </c>
      <c r="F53" s="6" t="n">
        <v>65170000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65170000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65170000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S42</t>
        </is>
      </c>
      <c r="B54" t="inlineStr">
        <is>
          <t>Fluid Savings USDS (fsUSDS, Arbitrum)</t>
        </is>
      </c>
      <c r="C54" t="inlineStr">
        <is>
          <t>arbitrum</t>
        </is>
      </c>
      <c r="D54" t="inlineStr">
        <is>
          <t>B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S44</t>
        </is>
      </c>
      <c r="B55" t="inlineStr">
        <is>
          <t>USDS raw (Arbitrum — POL)</t>
        </is>
      </c>
      <c r="C55" t="inlineStr">
        <is>
          <t>arbitrum</t>
        </is>
      </c>
      <c r="D55" t="inlineStr">
        <is>
          <t>A</t>
        </is>
      </c>
      <c r="E55" s="6" t="n">
        <v>90000000</v>
      </c>
      <c r="F55" s="6" t="n">
        <v>90000000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90000000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90000000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S48</t>
        </is>
      </c>
      <c r="B56" t="inlineStr">
        <is>
          <t>USDS raw (Optimism — POL)</t>
        </is>
      </c>
      <c r="C56" t="inlineStr">
        <is>
          <t>optimism</t>
        </is>
      </c>
      <c r="D56" t="inlineStr">
        <is>
          <t>A</t>
        </is>
      </c>
      <c r="E56" s="6" t="n">
        <v>89900000</v>
      </c>
      <c r="F56" s="6" t="n">
        <v>89900000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89900000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89900000</v>
      </c>
      <c r="R56" s="6" t="n">
        <v>0</v>
      </c>
      <c r="S56" t="inlineStr">
        <is>
          <t>CoF excluded (already deducted from utilized)</t>
        </is>
      </c>
    </row>
    <row r="57">
      <c r="A57" t="inlineStr">
        <is>
          <t>S52</t>
        </is>
      </c>
      <c r="B57" t="inlineStr">
        <is>
          <t>USDS raw (Unichain — POL)</t>
        </is>
      </c>
      <c r="C57" t="inlineStr">
        <is>
          <t>unichain</t>
        </is>
      </c>
      <c r="D57" t="inlineStr">
        <is>
          <t>A</t>
        </is>
      </c>
      <c r="E57" s="6" t="n">
        <v>89900000</v>
      </c>
      <c r="F57" s="6" t="n">
        <v>89900000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89900000</v>
      </c>
      <c r="M57" s="7" t="n">
        <v>0</v>
      </c>
      <c r="N57" s="6" t="n">
        <v>0</v>
      </c>
      <c r="O57" s="6" t="n">
        <v>0</v>
      </c>
      <c r="P57" s="6" t="n">
        <v>0</v>
      </c>
      <c r="Q57" s="6" t="n">
        <v>89900000</v>
      </c>
      <c r="R57" s="6" t="n">
        <v>0</v>
      </c>
      <c r="S57" t="inlineStr">
        <is>
          <t>CoF excluded (already deducted from utilized)</t>
        </is>
      </c>
    </row>
    <row r="58">
      <c r="A58" t="inlineStr">
        <is>
          <t>PSM_CURVE_DEDUCT</t>
        </is>
      </c>
      <c r="B58" t="inlineStr">
        <is>
          <t>PSM3 USDS + PSM3 USDC (SDE) + Curve idle USDS — BR deduction (unattributed)</t>
        </is>
      </c>
      <c r="C58" t="inlineStr"/>
      <c r="D58" t="inlineStr"/>
      <c r="E58" s="6" t="n">
        <v>0</v>
      </c>
      <c r="F58" s="6" t="n">
        <v>0</v>
      </c>
      <c r="G58" s="6" t="n">
        <v>0</v>
      </c>
      <c r="H58" s="6" t="n">
        <v>0</v>
      </c>
      <c r="I58" s="6" t="n">
        <v>0</v>
      </c>
      <c r="J58" s="6" t="n">
        <v>0</v>
      </c>
      <c r="K58" s="6" t="n">
        <v>0</v>
      </c>
      <c r="L58" s="6" t="n">
        <v>0</v>
      </c>
      <c r="M58" s="7" t="n">
        <v>0</v>
      </c>
      <c r="N58" s="6" t="n">
        <v>0</v>
      </c>
      <c r="O58" s="6" t="n">
        <v>0</v>
      </c>
      <c r="P58" s="6" t="n">
        <v>0</v>
      </c>
      <c r="Q58" s="6" t="n">
        <v>0</v>
      </c>
      <c r="R58" s="6" t="n">
        <v>0</v>
      </c>
      <c r="S58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3445457.756234186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3528933.274938526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10212868.56118992</v>
      </c>
    </row>
    <row r="11">
      <c r="A11" t="inlineStr">
        <is>
          <t xml:space="preserve">    ↳ actual CoF on Net_Subs (BR × utilized)</t>
        </is>
      </c>
      <c r="B11" s="3" t="n">
        <v>3445457.756234186</v>
      </c>
    </row>
    <row r="12">
      <c r="A12" t="inlineStr">
        <is>
          <t xml:space="preserve">    ↳ reduction from idle/SDE deductions</t>
        </is>
      </c>
      <c r="B12" s="3" t="n">
        <v>-6767410.804955734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9" t="inlineStr">
        <is>
          <t>sUSDS spread (Curve LP + PSM3) — 30 bps × value × n_days credited to prime_agent_revenue. Sky still charges full BR on the underlying utilized; this row is the prime's offsetting pickup on the share-price-appreciation accounting (SSR + BR + 30 bps nets to zero economically).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3131305694.853109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2416566757.341383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279518.4082718074</v>
      </c>
      <c r="O6" s="3" t="n">
        <v>362190.5254546798</v>
      </c>
    </row>
    <row r="7">
      <c r="A7" t="inlineStr">
        <is>
          <t>2026-03-02</t>
        </is>
      </c>
      <c r="B7" s="6" t="n">
        <v>3169303197.190613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2442518245.417933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282520.1538753192</v>
      </c>
      <c r="O7" s="3" t="n">
        <v>366585.6042744216</v>
      </c>
    </row>
    <row r="8">
      <c r="A8" t="inlineStr">
        <is>
          <t>2026-03-03</t>
        </is>
      </c>
      <c r="B8" s="6" t="n">
        <v>3146326464.579185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2430500362.055247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281130.0744917768</v>
      </c>
      <c r="O8" s="3" t="n">
        <v>363927.9414114685</v>
      </c>
    </row>
    <row r="9">
      <c r="A9" t="inlineStr">
        <is>
          <t>2026-03-04</t>
        </is>
      </c>
      <c r="B9" s="6" t="n">
        <v>2881318553.009124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2215606385.526245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256273.8100893528</v>
      </c>
      <c r="O9" s="3" t="n">
        <v>333275.1198428256</v>
      </c>
    </row>
    <row r="10">
      <c r="A10" t="inlineStr">
        <is>
          <t>2026-03-05</t>
        </is>
      </c>
      <c r="B10" s="6" t="n">
        <v>2807089586.432195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2151891202.723649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248904.0296247227</v>
      </c>
      <c r="O10" s="3" t="n">
        <v>324689.2355413834</v>
      </c>
    </row>
    <row r="11">
      <c r="A11" t="inlineStr">
        <is>
          <t>2026-03-06</t>
        </is>
      </c>
      <c r="B11" s="6" t="n">
        <v>2780827269.760019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2116229657.690788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244779.1453136163</v>
      </c>
      <c r="O11" s="3" t="n">
        <v>321651.5371490523</v>
      </c>
    </row>
    <row r="12">
      <c r="A12" t="inlineStr">
        <is>
          <t>2026-03-07</t>
        </is>
      </c>
      <c r="B12" s="6" t="n">
        <v>2788088641.022816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2118041428.077036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244988.7083943712</v>
      </c>
      <c r="O12" s="3" t="n">
        <v>322491.4423290278</v>
      </c>
    </row>
    <row r="13">
      <c r="A13" t="inlineStr">
        <is>
          <t>2026-03-08</t>
        </is>
      </c>
      <c r="B13" s="6" t="n">
        <v>2779945566.177685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2111247213.57366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244202.8381022836</v>
      </c>
      <c r="O13" s="3" t="n">
        <v>321549.5526368708</v>
      </c>
    </row>
    <row r="14">
      <c r="A14" t="inlineStr">
        <is>
          <t>2026-03-09</t>
        </is>
      </c>
      <c r="B14" s="6" t="n">
        <v>2792788068.209374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2136295233.72203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233012.1776308807</v>
      </c>
      <c r="O14" s="3" t="n">
        <v>304617.8351955642</v>
      </c>
    </row>
    <row r="15">
      <c r="A15" t="inlineStr">
        <is>
          <t>2026-03-10</t>
        </is>
      </c>
      <c r="B15" s="6" t="n">
        <v>2792926035.615368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2138806862.418313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233286.128563637</v>
      </c>
      <c r="O15" s="3" t="n">
        <v>304632.8837175125</v>
      </c>
    </row>
    <row r="16">
      <c r="A16" t="inlineStr">
        <is>
          <t>2026-03-11</t>
        </is>
      </c>
      <c r="B16" s="6" t="n">
        <v>2790054498.466092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2148537624.727249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234347.4922177903</v>
      </c>
      <c r="O16" s="3" t="n">
        <v>304319.676482043</v>
      </c>
    </row>
    <row r="17">
      <c r="A17" t="inlineStr">
        <is>
          <t>2026-03-12</t>
        </is>
      </c>
      <c r="B17" s="6" t="n">
        <v>2787622121.342249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2131037426.217979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232438.6926758314</v>
      </c>
      <c r="O17" s="3" t="n">
        <v>304054.3697578133</v>
      </c>
    </row>
    <row r="18">
      <c r="A18" t="inlineStr">
        <is>
          <t>2026-03-13</t>
        </is>
      </c>
      <c r="B18" s="6" t="n">
        <v>2791260263.036477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2144480845.701279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233905.0070686935</v>
      </c>
      <c r="O18" s="3" t="n">
        <v>304451.1928678967</v>
      </c>
    </row>
    <row r="19">
      <c r="A19" t="inlineStr">
        <is>
          <t>2026-03-14</t>
        </is>
      </c>
      <c r="B19" s="6" t="n">
        <v>2802908640.567328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2153231755.900424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234859.4952918416</v>
      </c>
      <c r="O19" s="3" t="n">
        <v>305721.7166098803</v>
      </c>
    </row>
    <row r="20">
      <c r="A20" t="inlineStr">
        <is>
          <t>2026-03-15</t>
        </is>
      </c>
      <c r="B20" s="6" t="n">
        <v>2809376592.82677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2160064410.605867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235604.7535907805</v>
      </c>
      <c r="O20" s="3" t="n">
        <v>306427.1957107999</v>
      </c>
    </row>
    <row r="21">
      <c r="A21" t="inlineStr">
        <is>
          <t>2026-03-16</t>
        </is>
      </c>
      <c r="B21" s="6" t="n">
        <v>2819847342.704478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2170069215.963748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236696.0079485179</v>
      </c>
      <c r="O21" s="3" t="n">
        <v>307569.2720455311</v>
      </c>
    </row>
    <row r="22">
      <c r="A22" t="inlineStr">
        <is>
          <t>2026-03-17</t>
        </is>
      </c>
      <c r="B22" s="6" t="n">
        <v>2820880505.400382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2171137032.244217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236812.4778974718</v>
      </c>
      <c r="O22" s="3" t="n">
        <v>307681.9622232834</v>
      </c>
    </row>
    <row r="23">
      <c r="A23" t="inlineStr">
        <is>
          <t>2026-03-18</t>
        </is>
      </c>
      <c r="B23" s="6" t="n">
        <v>2907124641.609815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2258977438.239259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246393.4964579188</v>
      </c>
      <c r="O23" s="3" t="n">
        <v>317088.8708138351</v>
      </c>
    </row>
    <row r="24">
      <c r="A24" t="inlineStr">
        <is>
          <t>2026-03-19</t>
        </is>
      </c>
      <c r="B24" s="6" t="n">
        <v>2905429817.13824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2247502744.749332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245141.9169592012</v>
      </c>
      <c r="O24" s="3" t="n">
        <v>316904.0111864812</v>
      </c>
    </row>
    <row r="25">
      <c r="A25" t="inlineStr">
        <is>
          <t>2026-03-20</t>
        </is>
      </c>
      <c r="B25" s="6" t="n">
        <v>2914194882.912043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2223183703.758221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242489.3656592759</v>
      </c>
      <c r="O25" s="3" t="n">
        <v>317860.0434009393</v>
      </c>
    </row>
    <row r="26">
      <c r="A26" t="inlineStr">
        <is>
          <t>2026-03-21</t>
        </is>
      </c>
      <c r="B26" s="6" t="n">
        <v>3077529531.212519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2377929163.170564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259367.9206019552</v>
      </c>
      <c r="O26" s="3" t="n">
        <v>335675.447134607</v>
      </c>
    </row>
    <row r="27">
      <c r="A27" t="inlineStr">
        <is>
          <t>2026-03-22</t>
        </is>
      </c>
      <c r="B27" s="6" t="n">
        <v>3137611584.903619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2450348486.567435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267266.9150765436</v>
      </c>
      <c r="O27" s="3" t="n">
        <v>342228.7783156662</v>
      </c>
    </row>
    <row r="28">
      <c r="A28" t="inlineStr">
        <is>
          <t>2026-03-23</t>
        </is>
      </c>
      <c r="B28" s="6" t="n">
        <v>3132475429.811056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2448501830.507803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267065.4947190023</v>
      </c>
      <c r="O28" s="3" t="n">
        <v>341668.562356806</v>
      </c>
    </row>
    <row r="29">
      <c r="A29" t="inlineStr">
        <is>
          <t>2026-03-24</t>
        </is>
      </c>
      <c r="B29" s="6" t="n">
        <v>3117051456.181883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2427132708.02054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264734.6999457804</v>
      </c>
      <c r="O29" s="3" t="n">
        <v>339986.2229374585</v>
      </c>
    </row>
    <row r="30">
      <c r="A30" t="inlineStr">
        <is>
          <t>2026-03-25</t>
        </is>
      </c>
      <c r="B30" s="6" t="n">
        <v>3099592040.943802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2413428427.101261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263239.932607699</v>
      </c>
      <c r="O30" s="3" t="n">
        <v>338081.8717501467</v>
      </c>
    </row>
    <row r="31">
      <c r="A31" t="inlineStr">
        <is>
          <t>2026-03-26</t>
        </is>
      </c>
      <c r="B31" s="6" t="n">
        <v>3117529667.747241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2425473003.61229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264553.6709698761</v>
      </c>
      <c r="O31" s="3" t="n">
        <v>340038.3829181828</v>
      </c>
    </row>
    <row r="32">
      <c r="A32" t="inlineStr">
        <is>
          <t>2026-03-27</t>
        </is>
      </c>
      <c r="B32" s="6" t="n">
        <v>3113281481.525022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2420059839.073637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263963.2407535299</v>
      </c>
      <c r="O32" s="3" t="n">
        <v>339575.0204077042</v>
      </c>
    </row>
    <row r="33">
      <c r="A33" t="inlineStr">
        <is>
          <t>2026-03-28</t>
        </is>
      </c>
      <c r="B33" s="6" t="n">
        <v>3098756108.186975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2404543758.234733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262270.854922443</v>
      </c>
      <c r="O33" s="3" t="n">
        <v>337990.6940379342</v>
      </c>
    </row>
    <row r="34">
      <c r="A34" t="inlineStr">
        <is>
          <t>2026-03-29</t>
        </is>
      </c>
      <c r="B34" s="6" t="n">
        <v>3242110616.116458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2546481619.551023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277752.4464325994</v>
      </c>
      <c r="O34" s="3" t="n">
        <v>353626.8034756986</v>
      </c>
    </row>
    <row r="35">
      <c r="A35" t="inlineStr">
        <is>
          <t>2026-03-30</t>
        </is>
      </c>
      <c r="B35" s="6" t="n">
        <v>3277107093.689361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2558092448.321908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279018.8746178506</v>
      </c>
      <c r="O35" s="3" t="n">
        <v>357443.9750538352</v>
      </c>
    </row>
    <row r="36">
      <c r="A36" t="inlineStr">
        <is>
          <t>2026-03-31</t>
        </is>
      </c>
      <c r="B36" s="6" t="n">
        <v>3381796950.610221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2646996811.112102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288715.9421615233</v>
      </c>
      <c r="O36" s="3" t="n">
        <v>368862.8141505707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7885254.172933893</v>
      </c>
      <c r="O38" s="10" t="n">
        <v>10212868.56118992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2026-06-08T12:36:52Z</dcterms:created>
  <dcterms:modified xmlns:dcterms="http://purl.org/dc/terms/" xmlns:xsi="http://www.w3.org/2001/XMLSchema-instance" xsi:type="dcterms:W3CDTF">2026-06-08T12:36:52Z</dcterms:modified>
</cp:coreProperties>
</file>