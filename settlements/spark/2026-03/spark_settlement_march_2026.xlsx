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10152205.00021997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>
        <is>
          <t>+ distribution_rewards (settle-dr-dune)</t>
        </is>
      </c>
      <c r="B6" s="3" t="n">
        <v>1412270.82</v>
      </c>
    </row>
    <row r="7">
      <c r="A7" t="inlineStr"/>
      <c r="B7" s="4" t="n">
        <v>11687387.49221754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7801904.956334603</v>
      </c>
    </row>
    <row r="11">
      <c r="A11" t="inlineStr">
        <is>
          <t>+ SDE revenue (Sky-Direct, full to Sky)</t>
        </is>
      </c>
      <c r="B11" s="3" t="n">
        <v>5979.891007520028</v>
      </c>
    </row>
    <row r="12">
      <c r="A12" t="inlineStr"/>
      <c r="B12" s="4" t="n">
        <v>7807884.847342123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7801904.956334603</v>
      </c>
    </row>
    <row r="16">
      <c r="A16" t="inlineStr">
        <is>
          <t>reduction from idle/SDE deductions</t>
        </is>
      </c>
      <c r="B16" s="3" t="n">
        <v>-2509596.141084177</v>
      </c>
    </row>
    <row r="17">
      <c r="A17" t="inlineStr"/>
      <c r="B17" s="4" t="n">
        <v>10311501.09741878</v>
      </c>
    </row>
    <row r="19">
      <c r="A19" s="5" t="inlineStr">
        <is>
          <t>sUSDS spread (Curve LP + PSM3) — deducted from sky_revenue</t>
        </is>
      </c>
      <c r="B19" s="3" t="n">
        <v>180470.6204848008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10152205.00021997</v>
      </c>
    </row>
    <row r="23">
      <c r="A23" t="inlineStr">
        <is>
          <t>− CoF (deducted per-venue in display)</t>
        </is>
      </c>
      <c r="B23" s="3" t="n">
        <v>-7801904.956334603</v>
      </c>
    </row>
    <row r="24">
      <c r="A24" t="inlineStr"/>
      <c r="B24" s="4" t="n">
        <v>1038450.861820448</v>
      </c>
    </row>
    <row r="26">
      <c r="A26" t="inlineStr">
        <is>
          <t>Period</t>
        </is>
      </c>
      <c r="B26" t="inlineStr">
        <is>
          <t>2026-03-01 → 2026-03-31 (31 days)</t>
        </is>
      </c>
    </row>
    <row r="27">
      <c r="A27" t="inlineStr">
        <is>
          <t>Pin blocks</t>
        </is>
      </c>
      <c r="B27" t="inlineStr">
        <is>
          <t>arbitrum=447736930, avalanche_c=81789468, base=44106126, ethereum=24781026, optimism=149701411, unichain=44253240</t>
        </is>
      </c>
    </row>
    <row r="28">
      <c r="A28" t="inlineStr">
        <is>
          <t>Generated</t>
        </is>
      </c>
      <c r="B28" t="inlineStr">
        <is>
          <t>2026-07-07T14:43:57+00:00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1802372.703376585</v>
      </c>
      <c r="I2" s="6" t="n">
        <v>0</v>
      </c>
      <c r="J2" s="6" t="n">
        <v>1802372.703376585</v>
      </c>
      <c r="K2" s="6" t="n">
        <v>0</v>
      </c>
      <c r="L2" s="6" t="n">
        <v>962010320.528584</v>
      </c>
      <c r="M2" s="7" t="n">
        <v>1</v>
      </c>
      <c r="N2" s="6" t="n">
        <v>2539761.461638205</v>
      </c>
      <c r="O2" s="6" t="n">
        <v>2539761.461638205</v>
      </c>
      <c r="P2" s="6" t="n">
        <v>-737388.7582616191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2659819.000000003</v>
      </c>
      <c r="I3" s="6" t="n">
        <v>0</v>
      </c>
      <c r="J3" s="6" t="n">
        <v>2659819.000000003</v>
      </c>
      <c r="K3" s="6" t="n">
        <v>0</v>
      </c>
      <c r="L3" s="6" t="n">
        <v>528728926.6944101</v>
      </c>
      <c r="M3" s="7" t="n">
        <v>1</v>
      </c>
      <c r="N3" s="6" t="n">
        <v>1395874.163734499</v>
      </c>
      <c r="O3" s="6" t="n">
        <v>1395874.163734499</v>
      </c>
      <c r="P3" s="6" t="n">
        <v>1263944.836265505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879827.3388797356</v>
      </c>
      <c r="O4" s="6" t="n">
        <v>879827.3388797356</v>
      </c>
      <c r="P4" s="6" t="n">
        <v>-304596.6418177356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613451.2961528412</v>
      </c>
      <c r="O5" s="6" t="n">
        <v>613451.2961528412</v>
      </c>
      <c r="P5" s="6" t="n">
        <v>-8904.576282162108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449760.2044617854</v>
      </c>
      <c r="O6" s="6" t="n">
        <v>449760.2044617854</v>
      </c>
      <c r="P6" s="6" t="n">
        <v>120569.3703913877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399153.1420595762</v>
      </c>
      <c r="O7" s="6" t="n">
        <v>360687.9777515435</v>
      </c>
      <c r="P7" s="6" t="n">
        <v>90184.9506127239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288939.0078838717</v>
      </c>
      <c r="O8" s="6" t="n">
        <v>288939.0078838717</v>
      </c>
      <c r="P8" s="6" t="n">
        <v>126155.9978172489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264006.4535453353</v>
      </c>
      <c r="O9" s="6" t="n">
        <v>264006.4535453353</v>
      </c>
      <c r="P9" s="6" t="n">
        <v>-254623.7350979545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263999.730428277</v>
      </c>
      <c r="O10" s="6" t="n">
        <v>263999.730428277</v>
      </c>
      <c r="P10" s="6" t="n">
        <v>-192540.283780277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267732.2668608468</v>
      </c>
      <c r="O11" s="6" t="n">
        <v>241931.7292971779</v>
      </c>
      <c r="P11" s="6" t="n">
        <v>55662.64194402007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198810.8075551033</v>
      </c>
      <c r="O12" s="6" t="n">
        <v>179652.0196789494</v>
      </c>
      <c r="P12" s="6" t="n">
        <v>41333.5864417601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172403.0735875621</v>
      </c>
      <c r="I13" s="6" t="n">
        <v>0</v>
      </c>
      <c r="J13" s="6" t="n">
        <v>172403.0735875621</v>
      </c>
      <c r="K13" s="6" t="n">
        <v>0</v>
      </c>
      <c r="L13" s="6" t="n">
        <v>54328358.31940125</v>
      </c>
      <c r="M13" s="7" t="n">
        <v>1</v>
      </c>
      <c r="N13" s="6" t="n">
        <v>143429.9277141558</v>
      </c>
      <c r="O13" s="6" t="n">
        <v>143429.9277141558</v>
      </c>
      <c r="P13" s="6" t="n">
        <v>28973.1458734063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122531.0290994282</v>
      </c>
      <c r="O14" s="6" t="n">
        <v>122531.0290994282</v>
      </c>
      <c r="P14" s="6" t="n">
        <v>-122531.0290994282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42207.75995695939</v>
      </c>
      <c r="O16" s="6" t="n">
        <v>42207.75995695939</v>
      </c>
      <c r="P16" s="6" t="n">
        <v>-42207.75995695939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26699.86459070966</v>
      </c>
      <c r="O17" s="6" t="n">
        <v>26699.86459070966</v>
      </c>
      <c r="P17" s="6" t="n">
        <v>16841.04773656991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26399.29611469814</v>
      </c>
      <c r="O18" s="6" t="n">
        <v>26399.29611469814</v>
      </c>
      <c r="P18" s="6" t="n">
        <v>-7088.884972698137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1.2448e-10</v>
      </c>
      <c r="I19" s="6" t="n">
        <v>0</v>
      </c>
      <c r="J19" s="6" t="n">
        <v>1.2448e-10</v>
      </c>
      <c r="K19" s="6" t="n">
        <v>0</v>
      </c>
      <c r="L19" s="6" t="n">
        <v>4999233.117450742</v>
      </c>
      <c r="M19" s="7" t="n">
        <v>1</v>
      </c>
      <c r="N19" s="6" t="n">
        <v>13198.25716887364</v>
      </c>
      <c r="O19" s="6" t="n">
        <v>13198.25716887364</v>
      </c>
      <c r="P19" s="6" t="n">
        <v>-13198.25716887352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-7.09e-10</v>
      </c>
      <c r="I20" s="6" t="n">
        <v>0</v>
      </c>
      <c r="J20" s="6" t="n">
        <v>-7.09e-10</v>
      </c>
      <c r="K20" s="6" t="n">
        <v>0</v>
      </c>
      <c r="L20" s="6" t="n">
        <v>4991412.147209226</v>
      </c>
      <c r="M20" s="7" t="n">
        <v>1</v>
      </c>
      <c r="N20" s="6" t="n">
        <v>13177.60936667428</v>
      </c>
      <c r="O20" s="6" t="n">
        <v>13177.60936667428</v>
      </c>
      <c r="P20" s="6" t="n">
        <v>-13177.60936667499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-7.873499999999999e-09</v>
      </c>
      <c r="I21" s="6" t="n">
        <v>0</v>
      </c>
      <c r="J21" s="6" t="n">
        <v>-7.873499999999999e-09</v>
      </c>
      <c r="K21" s="6" t="n">
        <v>0</v>
      </c>
      <c r="L21" s="6" t="n">
        <v>4983312.812056454</v>
      </c>
      <c r="M21" s="7" t="n">
        <v>1</v>
      </c>
      <c r="N21" s="6" t="n">
        <v>13156.22666542155</v>
      </c>
      <c r="O21" s="6" t="n">
        <v>13156.22666542155</v>
      </c>
      <c r="P21" s="6" t="n">
        <v>-13156.22666542942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3.9e-10</v>
      </c>
      <c r="I22" s="6" t="n">
        <v>0</v>
      </c>
      <c r="J22" s="6" t="n">
        <v>3.9e-10</v>
      </c>
      <c r="K22" s="6" t="n">
        <v>0</v>
      </c>
      <c r="L22" s="6" t="n">
        <v>4975726.070058744</v>
      </c>
      <c r="M22" s="7" t="n">
        <v>1</v>
      </c>
      <c r="N22" s="6" t="n">
        <v>13136.1972389861</v>
      </c>
      <c r="O22" s="6" t="n">
        <v>13136.1972389861</v>
      </c>
      <c r="P22" s="6" t="n">
        <v>-13136.19723898571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4849.497356367622</v>
      </c>
      <c r="I24" s="6" t="n">
        <v>0</v>
      </c>
      <c r="J24" s="6" t="n">
        <v>4849.497356367622</v>
      </c>
      <c r="K24" s="6" t="n">
        <v>0</v>
      </c>
      <c r="L24" s="6" t="n">
        <v>1717843.021793663</v>
      </c>
      <c r="M24" s="7" t="n">
        <v>1</v>
      </c>
      <c r="N24" s="6" t="n">
        <v>4535.202388991448</v>
      </c>
      <c r="O24" s="6" t="n">
        <v>4535.202388991448</v>
      </c>
      <c r="P24" s="6" t="n">
        <v>314.2949673761746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2577.614765965594</v>
      </c>
      <c r="O25" s="6" t="n">
        <v>2329.217935155028</v>
      </c>
      <c r="P25" s="6" t="n">
        <v>535.8967354582393</v>
      </c>
      <c r="Q25" s="6" t="n">
        <v>0</v>
      </c>
      <c r="R25" s="6" t="n">
        <v>248.3968308105648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219994.2553850041</v>
      </c>
      <c r="F26" s="6" t="n">
        <v>220006.9469428827</v>
      </c>
      <c r="G26" s="6" t="n">
        <v>12.69155787858941</v>
      </c>
      <c r="H26" s="6" t="n">
        <v>12.69155787858941</v>
      </c>
      <c r="I26" s="6" t="n">
        <v>0</v>
      </c>
      <c r="J26" s="6" t="n">
        <v>0</v>
      </c>
      <c r="K26" s="6" t="n">
        <v>12.69155787858941</v>
      </c>
      <c r="L26" s="6" t="n">
        <v>219994.2553850041</v>
      </c>
      <c r="M26" s="7" t="n">
        <v>0</v>
      </c>
      <c r="N26" s="6" t="n">
        <v>0</v>
      </c>
      <c r="O26" s="6" t="n">
        <v>12.69155787858941</v>
      </c>
      <c r="P26" s="6" t="n">
        <v>0</v>
      </c>
      <c r="Q26" s="6" t="n">
        <v>219994.2553850041</v>
      </c>
      <c r="R26" s="6" t="n">
        <v>0</v>
      </c>
      <c r="S26" t="inlineStr">
        <is>
          <t>SDE (fixed)</t>
        </is>
      </c>
    </row>
    <row r="27">
      <c r="A27" t="inlineStr">
        <is>
          <t>S11</t>
        </is>
      </c>
      <c r="B27" t="inlineStr">
        <is>
          <t>Spark Blue Chip USDT Vault (Morpho V2)</t>
        </is>
      </c>
      <c r="C27" t="inlineStr">
        <is>
          <t>ethereum</t>
        </is>
      </c>
      <c r="D27" t="inlineStr">
        <is>
          <t>B</t>
        </is>
      </c>
      <c r="E27" s="6" t="n">
        <v>0</v>
      </c>
      <c r="F27" s="6" t="n">
        <v>40001.50457793332</v>
      </c>
      <c r="G27" s="6" t="n">
        <v>40001.50457793332</v>
      </c>
      <c r="H27" s="6" t="n">
        <v>3.480000000005129</v>
      </c>
      <c r="I27" s="6" t="n">
        <v>0</v>
      </c>
      <c r="J27" s="6" t="n">
        <v>3.480000000005129</v>
      </c>
      <c r="K27" s="6" t="n">
        <v>0</v>
      </c>
      <c r="L27" s="6" t="n">
        <v>2580.581437997849</v>
      </c>
      <c r="M27" s="7" t="n">
        <v>1</v>
      </c>
      <c r="N27" s="6" t="n">
        <v>6.812880428605649</v>
      </c>
      <c r="O27" s="6" t="n">
        <v>6.812880428605649</v>
      </c>
      <c r="P27" s="6" t="n">
        <v>-3.33288042860052</v>
      </c>
      <c r="Q27" s="6" t="n">
        <v>0</v>
      </c>
      <c r="R27" s="6" t="n">
        <v>0</v>
      </c>
      <c r="S27" t="inlineStr"/>
    </row>
    <row r="28">
      <c r="A28" t="inlineStr">
        <is>
          <t>S61</t>
        </is>
      </c>
      <c r="B28" t="inlineStr">
        <is>
          <t>Spark.fi PYUSD Reserve Uniswap V4 (PYUSD/USDS)</t>
        </is>
      </c>
      <c r="C28" t="inlineStr">
        <is>
          <t>ethereum</t>
        </is>
      </c>
      <c r="D28" t="inlineStr">
        <is>
          <t>F</t>
        </is>
      </c>
      <c r="E28" s="6" t="n">
        <v>220000.0301712902</v>
      </c>
      <c r="F28" s="6" t="n">
        <v>220002.4647086113</v>
      </c>
      <c r="G28" s="6" t="n">
        <v>2.434537321108676</v>
      </c>
      <c r="H28" s="6" t="n">
        <v>2.434537321108676</v>
      </c>
      <c r="I28" s="6" t="n">
        <v>0</v>
      </c>
      <c r="J28" s="6" t="n">
        <v>0</v>
      </c>
      <c r="K28" s="6" t="n">
        <v>2.434537321108676</v>
      </c>
      <c r="L28" s="6" t="n">
        <v>220000.0301712902</v>
      </c>
      <c r="M28" s="7" t="n">
        <v>0</v>
      </c>
      <c r="N28" s="6" t="n">
        <v>0</v>
      </c>
      <c r="O28" s="6" t="n">
        <v>2.434537321108676</v>
      </c>
      <c r="P28" s="6" t="n">
        <v>0</v>
      </c>
      <c r="Q28" s="6" t="n">
        <v>220000.0301712902</v>
      </c>
      <c r="R28" s="6" t="n">
        <v>0</v>
      </c>
      <c r="S28" t="inlineStr">
        <is>
          <t>SDE (fixed)</t>
        </is>
      </c>
    </row>
    <row r="29">
      <c r="A29" t="inlineStr">
        <is>
          <t>S34</t>
        </is>
      </c>
      <c r="B29" t="inlineStr">
        <is>
          <t>Spark USDC Vault (Morpho, Base)</t>
        </is>
      </c>
      <c r="C29" t="inlineStr">
        <is>
          <t>base</t>
        </is>
      </c>
      <c r="D29" t="inlineStr">
        <is>
          <t>B</t>
        </is>
      </c>
      <c r="E29" s="6" t="n">
        <v>494.7150552250027</v>
      </c>
      <c r="F29" s="6" t="n">
        <v>427.8972157084487</v>
      </c>
      <c r="G29" s="6" t="n">
        <v>-66.81783951655405</v>
      </c>
      <c r="H29" s="6" t="n">
        <v>1.294544801609128</v>
      </c>
      <c r="I29" s="6" t="n">
        <v>0</v>
      </c>
      <c r="J29" s="6" t="n">
        <v>1.294544801609128</v>
      </c>
      <c r="K29" s="6" t="n">
        <v>0</v>
      </c>
      <c r="L29" s="6" t="n">
        <v>458.0624343200989</v>
      </c>
      <c r="M29" s="7" t="n">
        <v>1</v>
      </c>
      <c r="N29" s="6" t="n">
        <v>1.209310641356889</v>
      </c>
      <c r="O29" s="6" t="n">
        <v>1.209310641356889</v>
      </c>
      <c r="P29" s="6" t="n">
        <v>0.08523416025223907</v>
      </c>
      <c r="Q29" s="6" t="n">
        <v>0</v>
      </c>
      <c r="R29" s="6" t="n">
        <v>0</v>
      </c>
      <c r="S29" t="inlineStr"/>
    </row>
    <row r="30">
      <c r="A30" t="inlineStr">
        <is>
          <t>S12</t>
        </is>
      </c>
      <c r="B30" t="inlineStr">
        <is>
          <t>Spark DAI Vault (Morpho)</t>
        </is>
      </c>
      <c r="C30" t="inlineStr">
        <is>
          <t>ethereum</t>
        </is>
      </c>
      <c r="D30" t="inlineStr">
        <is>
          <t>B</t>
        </is>
      </c>
      <c r="E30" s="6" t="n">
        <v>344.9608587271188</v>
      </c>
      <c r="F30" s="6" t="n">
        <v>359.9872090112888</v>
      </c>
      <c r="G30" s="6" t="n">
        <v>15.02635028417003</v>
      </c>
      <c r="H30" s="6" t="n">
        <v>0.9534365097586575</v>
      </c>
      <c r="I30" s="6" t="n">
        <v>0</v>
      </c>
      <c r="J30" s="6" t="n">
        <v>0.9534365097586575</v>
      </c>
      <c r="K30" s="6" t="n">
        <v>0</v>
      </c>
      <c r="L30" s="6" t="n">
        <v>345.4148236875836</v>
      </c>
      <c r="M30" s="7" t="n">
        <v>1</v>
      </c>
      <c r="N30" s="6" t="n">
        <v>0.9119146008727397</v>
      </c>
      <c r="O30" s="6" t="n">
        <v>0.9119146008727397</v>
      </c>
      <c r="P30" s="6" t="n">
        <v>0.04152190888591774</v>
      </c>
      <c r="Q30" s="6" t="n">
        <v>0</v>
      </c>
      <c r="R30" s="6" t="n">
        <v>0</v>
      </c>
      <c r="S30" t="inlineStr"/>
    </row>
    <row r="31">
      <c r="A31" t="inlineStr">
        <is>
          <t>S36</t>
        </is>
      </c>
      <c r="B31" t="inlineStr">
        <is>
          <t>Fluid Savings USDS (fsUSDS, Base)</t>
        </is>
      </c>
      <c r="C31" t="inlineStr">
        <is>
          <t>base</t>
        </is>
      </c>
      <c r="D31" t="inlineStr">
        <is>
          <t>B</t>
        </is>
      </c>
      <c r="E31" s="6" t="n">
        <v>283.8972488542868</v>
      </c>
      <c r="F31" s="6" t="n">
        <v>283.8972488542868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L31" s="6" t="n">
        <v>283.8972488542868</v>
      </c>
      <c r="M31" s="7" t="n">
        <v>1</v>
      </c>
      <c r="N31" s="6" t="n">
        <v>0.7495047364035058</v>
      </c>
      <c r="O31" s="6" t="n">
        <v>0.7495047364035058</v>
      </c>
      <c r="P31" s="6" t="n">
        <v>-0.7495047364035058</v>
      </c>
      <c r="Q31" s="6" t="n">
        <v>0</v>
      </c>
      <c r="R31" s="6" t="n">
        <v>0</v>
      </c>
      <c r="S31" t="inlineStr"/>
    </row>
    <row r="32">
      <c r="A32" t="inlineStr">
        <is>
          <t>S55</t>
        </is>
      </c>
      <c r="B32" t="inlineStr">
        <is>
          <t>USDC raw (Avalanche-C — ALM idle)</t>
        </is>
      </c>
      <c r="C32" t="inlineStr">
        <is>
          <t>avalanche_c</t>
        </is>
      </c>
      <c r="D32" t="inlineStr">
        <is>
          <t>A</t>
        </is>
      </c>
      <c r="E32" s="6" t="n">
        <v>0</v>
      </c>
      <c r="F32" s="6" t="n">
        <v>10.263802</v>
      </c>
      <c r="G32" s="6" t="n">
        <v>10.263802</v>
      </c>
      <c r="H32" s="6" t="n">
        <v>-1.870482e-08</v>
      </c>
      <c r="I32" s="6" t="n">
        <v>0</v>
      </c>
      <c r="J32" s="6" t="n">
        <v>-1.870482e-08</v>
      </c>
      <c r="K32" s="6" t="n">
        <v>0</v>
      </c>
      <c r="L32" s="6" t="n">
        <v>220.7452181171656</v>
      </c>
      <c r="M32" s="7" t="n">
        <v>1</v>
      </c>
      <c r="N32" s="6" t="n">
        <v>0.5827798162361175</v>
      </c>
      <c r="O32" s="6" t="n">
        <v>0.5827798162361175</v>
      </c>
      <c r="P32" s="6" t="n">
        <v>-0.5827798349409374</v>
      </c>
      <c r="Q32" s="6" t="n">
        <v>0</v>
      </c>
      <c r="R32" s="6" t="n">
        <v>0</v>
      </c>
      <c r="S32" t="inlineStr"/>
    </row>
    <row r="33">
      <c r="A33" t="inlineStr">
        <is>
          <t>S16</t>
        </is>
      </c>
      <c r="B33" t="inlineStr">
        <is>
          <t>Ethena Staked USDe (sUSDe)</t>
        </is>
      </c>
      <c r="C33" t="inlineStr">
        <is>
          <t>ethereum</t>
        </is>
      </c>
      <c r="D33" t="inlineStr">
        <is>
          <t>B</t>
        </is>
      </c>
      <c r="E33" s="6" t="n">
        <v>98.88131626312872</v>
      </c>
      <c r="F33" s="6" t="n">
        <v>99.16991404040614</v>
      </c>
      <c r="G33" s="6" t="n">
        <v>0.2885977772774213</v>
      </c>
      <c r="H33" s="6" t="n">
        <v>0.2885977772774213</v>
      </c>
      <c r="I33" s="6" t="n">
        <v>0</v>
      </c>
      <c r="J33" s="6" t="n">
        <v>0.2885977772774213</v>
      </c>
      <c r="K33" s="6" t="n">
        <v>0</v>
      </c>
      <c r="L33" s="6" t="n">
        <v>98.88131626312872</v>
      </c>
      <c r="M33" s="7" t="n">
        <v>1</v>
      </c>
      <c r="N33" s="6" t="n">
        <v>0.2610522475301152</v>
      </c>
      <c r="O33" s="6" t="n">
        <v>0.2610522475301152</v>
      </c>
      <c r="P33" s="6" t="n">
        <v>0.02754552974730608</v>
      </c>
      <c r="Q33" s="6" t="n">
        <v>0</v>
      </c>
      <c r="R33" s="6" t="n">
        <v>0</v>
      </c>
      <c r="S33" t="inlineStr"/>
    </row>
    <row r="34">
      <c r="A34" t="inlineStr">
        <is>
          <t>S27</t>
        </is>
      </c>
      <c r="B34" t="inlineStr">
        <is>
          <t>USDT raw (ALM idle — $442M as of 2026-04)</t>
        </is>
      </c>
      <c r="C34" t="inlineStr">
        <is>
          <t>ethereum</t>
        </is>
      </c>
      <c r="D34" t="inlineStr">
        <is>
          <t>A</t>
        </is>
      </c>
      <c r="E34" s="6" t="n">
        <v>1868.74164</v>
      </c>
      <c r="F34" s="6" t="n">
        <v>0</v>
      </c>
      <c r="G34" s="6" t="n">
        <v>-1868.74164</v>
      </c>
      <c r="H34" s="6" t="n">
        <v>-9.778202630006999e-08</v>
      </c>
      <c r="I34" s="6" t="n">
        <v>0</v>
      </c>
      <c r="J34" s="6" t="n">
        <v>-9.778202630006999e-08</v>
      </c>
      <c r="K34" s="6" t="n">
        <v>0</v>
      </c>
      <c r="L34" s="6" t="n">
        <v>49.19685105012429</v>
      </c>
      <c r="M34" s="7" t="n">
        <v>1</v>
      </c>
      <c r="N34" s="6" t="n">
        <v>0.1298824593299653</v>
      </c>
      <c r="O34" s="6" t="n">
        <v>0.1298824593299653</v>
      </c>
      <c r="P34" s="6" t="n">
        <v>-0.1298825571119916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21.90659475982325</v>
      </c>
      <c r="F35" s="6" t="n">
        <v>21.9066008120297</v>
      </c>
      <c r="G35" s="6" t="n">
        <v>6.052206450123245e-06</v>
      </c>
      <c r="H35" s="6" t="n">
        <v>6.052206450123245e-06</v>
      </c>
      <c r="I35" s="6" t="n">
        <v>0</v>
      </c>
      <c r="J35" s="6" t="n">
        <v>6.052206450123245e-06</v>
      </c>
      <c r="K35" s="6" t="n">
        <v>0</v>
      </c>
      <c r="L35" s="6" t="n">
        <v>21.90659475982325</v>
      </c>
      <c r="M35" s="7" t="n">
        <v>1</v>
      </c>
      <c r="N35" s="6" t="n">
        <v>0.05783464474284855</v>
      </c>
      <c r="O35" s="6" t="n">
        <v>0.05783464474284855</v>
      </c>
      <c r="P35" s="6" t="n">
        <v>-0.05782859253639842</v>
      </c>
      <c r="Q35" s="6" t="n">
        <v>0</v>
      </c>
      <c r="R35" s="6" t="n">
        <v>0</v>
      </c>
      <c r="S35" t="inlineStr"/>
    </row>
    <row r="36">
      <c r="A36" t="inlineStr">
        <is>
          <t>S23</t>
        </is>
      </c>
      <c r="B36" t="inlineStr">
        <is>
          <t>Anchorage tri-party loan escrow (USDC pass-through, ~$0 balance)</t>
        </is>
      </c>
      <c r="C36" t="inlineStr">
        <is>
          <t>ethereum</t>
        </is>
      </c>
      <c r="D36" t="inlineStr">
        <is>
          <t>E</t>
        </is>
      </c>
      <c r="E36" s="6" t="n">
        <v>1.210594</v>
      </c>
      <c r="F36" s="6" t="n">
        <v>133501.211399</v>
      </c>
      <c r="G36" s="6" t="n">
        <v>133500.000805</v>
      </c>
      <c r="H36" s="6" t="n">
        <v>133500.000805</v>
      </c>
      <c r="I36" s="6" t="n">
        <v>0</v>
      </c>
      <c r="J36" s="6" t="n">
        <v>133500.000805</v>
      </c>
      <c r="K36" s="6" t="n">
        <v>0</v>
      </c>
      <c r="L36" s="6" t="n">
        <v>1.210594</v>
      </c>
      <c r="M36" s="7" t="n">
        <v>1</v>
      </c>
      <c r="N36" s="6" t="n">
        <v>0.003196036384725131</v>
      </c>
      <c r="O36" s="6" t="n">
        <v>0.003196036384725131</v>
      </c>
      <c r="P36" s="6" t="n">
        <v>133499.9976089636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0.057463</v>
      </c>
      <c r="F37" s="6" t="n">
        <v>0.05756</v>
      </c>
      <c r="G37" s="6" t="n">
        <v>9.7e-05</v>
      </c>
      <c r="H37" s="6" t="n">
        <v>9.7e-05</v>
      </c>
      <c r="I37" s="6" t="n">
        <v>0</v>
      </c>
      <c r="J37" s="6" t="n">
        <v>9.7e-05</v>
      </c>
      <c r="K37" s="6" t="n">
        <v>0</v>
      </c>
      <c r="L37" s="6" t="n">
        <v>0.057463</v>
      </c>
      <c r="M37" s="7" t="n">
        <v>1</v>
      </c>
      <c r="N37" s="6" t="n">
        <v>0.0001517055584080709</v>
      </c>
      <c r="O37" s="6" t="n">
        <v>0.0001517055584080709</v>
      </c>
      <c r="P37" s="6" t="n">
        <v>-5.470555840807093e-05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0.006319</v>
      </c>
      <c r="F38" s="6" t="n">
        <v>0.006327</v>
      </c>
      <c r="G38" s="6" t="n">
        <v>8e-06</v>
      </c>
      <c r="H38" s="6" t="n">
        <v>8e-06</v>
      </c>
      <c r="I38" s="6" t="n">
        <v>0</v>
      </c>
      <c r="J38" s="6" t="n">
        <v>8e-06</v>
      </c>
      <c r="K38" s="6" t="n">
        <v>0</v>
      </c>
      <c r="L38" s="6" t="n">
        <v>0.006319</v>
      </c>
      <c r="M38" s="7" t="n">
        <v>1</v>
      </c>
      <c r="N38" s="6" t="n">
        <v>1.668251611611994e-05</v>
      </c>
      <c r="O38" s="6" t="n">
        <v>1.668251611611994e-05</v>
      </c>
      <c r="P38" s="6" t="n">
        <v>-8.682516116119942e-06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0.005740696354252308</v>
      </c>
      <c r="F39" s="6" t="n">
        <v>0.005741176637971351</v>
      </c>
      <c r="G39" s="6" t="n">
        <v>4.802837190430001e-07</v>
      </c>
      <c r="H39" s="6" t="n">
        <v>4.802837190430001e-07</v>
      </c>
      <c r="I39" s="6" t="n">
        <v>0</v>
      </c>
      <c r="J39" s="6" t="n">
        <v>4.802837190430001e-07</v>
      </c>
      <c r="K39" s="6" t="n">
        <v>0</v>
      </c>
      <c r="L39" s="6" t="n">
        <v>0.005740696354252308</v>
      </c>
      <c r="M39" s="7" t="n">
        <v>1</v>
      </c>
      <c r="N39" s="6" t="n">
        <v>1.515576190023186e-05</v>
      </c>
      <c r="O39" s="6" t="n">
        <v>1.515576190023186e-05</v>
      </c>
      <c r="P39" s="6" t="n">
        <v>-1.467547818118886e-05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0.001692</v>
      </c>
      <c r="F40" s="6" t="n">
        <v>0.001696</v>
      </c>
      <c r="G40" s="6" t="n">
        <v>4e-06</v>
      </c>
      <c r="H40" s="6" t="n">
        <v>4e-06</v>
      </c>
      <c r="I40" s="6" t="n">
        <v>0</v>
      </c>
      <c r="J40" s="6" t="n">
        <v>4e-06</v>
      </c>
      <c r="K40" s="6" t="n">
        <v>0</v>
      </c>
      <c r="L40" s="6" t="n">
        <v>0.001692</v>
      </c>
      <c r="M40" s="7" t="n">
        <v>1</v>
      </c>
      <c r="N40" s="6" t="n">
        <v>4.466975355036389e-06</v>
      </c>
      <c r="O40" s="6" t="n">
        <v>4.466975355036389e-06</v>
      </c>
      <c r="P40" s="6" t="n">
        <v>-4.66975355036389e-07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3.274051820240921e-06</v>
      </c>
      <c r="O41" s="6" t="n">
        <v>3.274051820240921e-06</v>
      </c>
      <c r="P41" s="6" t="n">
        <v>-3.274051820240921e-06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0.000519245328957253</v>
      </c>
      <c r="F42" s="6" t="n">
        <v>0.000520158110250329</v>
      </c>
      <c r="G42" s="6" t="n">
        <v>9.12781293076e-07</v>
      </c>
      <c r="H42" s="6" t="n">
        <v>9.12781293075e-07</v>
      </c>
      <c r="I42" s="6" t="n">
        <v>0</v>
      </c>
      <c r="J42" s="6" t="n">
        <v>9.12781293075e-07</v>
      </c>
      <c r="K42" s="6" t="n">
        <v>0</v>
      </c>
      <c r="L42" s="6" t="n">
        <v>0.000519245328957253</v>
      </c>
      <c r="M42" s="7" t="n">
        <v>1</v>
      </c>
      <c r="N42" s="6" t="n">
        <v>1.370836931246934e-06</v>
      </c>
      <c r="O42" s="6" t="n">
        <v>1.370836931246934e-06</v>
      </c>
      <c r="P42" s="6" t="n">
        <v>-4.580556381719338e-07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1.977303892550188e-07</v>
      </c>
      <c r="O43" s="6" t="n">
        <v>1.977303892550188e-07</v>
      </c>
      <c r="P43" s="6" t="n">
        <v>-1.977303892550188e-07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805478.9999999489</v>
      </c>
      <c r="I48" s="6" t="n">
        <v>0</v>
      </c>
      <c r="J48" s="6" t="n">
        <v>805478.9999999489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805478.9999999489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1.4613665e-07</v>
      </c>
      <c r="I49" s="6" t="n">
        <v>0</v>
      </c>
      <c r="J49" s="6" t="n">
        <v>1.4613665e-07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1.4613665e-07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-2.7726355e-07</v>
      </c>
      <c r="I50" s="6" t="n">
        <v>0</v>
      </c>
      <c r="J50" s="6" t="n">
        <v>-2.7726355e-07</v>
      </c>
      <c r="K50" s="6" t="n">
        <v>0</v>
      </c>
      <c r="L50" s="6" t="n">
        <v>1.886069370967742e-07</v>
      </c>
      <c r="M50" s="7" t="n">
        <v>0</v>
      </c>
      <c r="N50" s="6" t="n">
        <v>0</v>
      </c>
      <c r="O50" s="6" t="n">
        <v>0</v>
      </c>
      <c r="P50" s="6" t="n">
        <v>-2.7726355e-07</v>
      </c>
      <c r="Q50" s="6" t="n">
        <v>0</v>
      </c>
      <c r="R50" s="6" t="n">
        <v>0</v>
      </c>
      <c r="S50" t="inlineStr">
        <is>
          <t>CoF excluded (Savings V2 depositor capital; not in cum_alm_usds)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287780830.420175</v>
      </c>
      <c r="F60" s="6" t="n">
        <v>456780102.344065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387977397.421864</v>
      </c>
      <c r="F61" s="6" t="n">
        <v>867900893.337617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94443.720094</v>
      </c>
      <c r="F62" s="6" t="n">
        <v>504861.558051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152857139.195815</v>
      </c>
      <c r="F63" s="6" t="n">
        <v>73619968.24222299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2431274483.082148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1431274483.082148</v>
      </c>
    </row>
    <row r="8">
      <c r="A8" t="inlineStr">
        <is>
          <t>Base rate (BR = SSR + 30bps), period avg</t>
        </is>
      </c>
      <c r="B8" s="7" t="n">
        <v>0.04124672351396398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0.03680496665912168</v>
      </c>
    </row>
    <row r="11">
      <c r="A11" s="8" t="inlineStr">
        <is>
          <t>Effective blended rate charged</t>
        </is>
      </c>
      <c r="B11" s="10" t="n">
        <v>0.03941450206741989</v>
      </c>
    </row>
    <row r="12">
      <c r="A12" s="8" t="inlineStr">
        <is>
          <t>Diff vs base rate (bps)</t>
        </is>
      </c>
      <c r="B12" s="11" t="n">
        <v>-18.32221446544094</v>
      </c>
    </row>
    <row r="13">
      <c r="A13" s="8" t="inlineStr">
        <is>
          <t>Subsidy benefit to prime (USD)</t>
        </is>
      </c>
      <c r="B13" s="12" t="n">
        <v>364118.1373055246</v>
      </c>
    </row>
    <row r="15">
      <c r="A15" t="inlineStr">
        <is>
          <t>CoF at full base rate (no subsidy)</t>
        </is>
      </c>
      <c r="B15" s="3" t="n">
        <v>8346493.714124929</v>
      </c>
    </row>
    <row r="16">
      <c r="A16" t="inlineStr">
        <is>
          <t xml:space="preserve">  − actual CoF (subsidy on first tranche)</t>
        </is>
      </c>
      <c r="B16" s="3" t="n">
        <v>7982375.576819404</v>
      </c>
    </row>
    <row r="17">
      <c r="A17" s="8" t="inlineStr">
        <is>
          <t xml:space="preserve">  = subsidy benefit</t>
        </is>
      </c>
      <c r="B17" s="12" t="n">
        <v>364118.1373055246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3069902.203300723</v>
      </c>
    </row>
    <row r="21">
      <c r="A21" t="inlineStr">
        <is>
          <t>Excess (&gt; cap)</t>
        </is>
      </c>
      <c r="B21" s="6" t="n">
        <v>1431274483.082148</v>
      </c>
      <c r="C21" s="3" t="n">
        <v>4912473.373518681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7801904.956334603</v>
      </c>
    </row>
    <row r="25">
      <c r="A25" t="inlineStr">
        <is>
          <t>+ Sky-Direct revenue (full venue yield on fixed/capped SDE)</t>
        </is>
      </c>
      <c r="B25" s="3" t="n">
        <v>5979.891007520028</v>
      </c>
    </row>
    <row r="26">
      <c r="A26" t="inlineStr">
        <is>
          <t>equals sky_revenue (total Sky take this month)</t>
        </is>
      </c>
      <c r="B26" s="3" t="n">
        <v>7807884.847342123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10311501.09741878</v>
      </c>
    </row>
    <row r="31">
      <c r="A31" t="inlineStr">
        <is>
          <t xml:space="preserve">    ↳ actual CoF on Net_Subs (BR × utilized)</t>
        </is>
      </c>
      <c r="B31" s="3" t="n">
        <v>7801904.956334603</v>
      </c>
    </row>
    <row r="32">
      <c r="A32" t="inlineStr">
        <is>
          <t xml:space="preserve">    ↳ reduction from idle/SDE deductions</t>
        </is>
      </c>
      <c r="B32" s="3" t="n">
        <v>-2509596.141084177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2.434537321108676</v>
      </c>
      <c r="J6" s="6" t="n">
        <v>2.434537321108676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12.69155787858941</v>
      </c>
      <c r="J7" s="6" t="n">
        <v>12.69155787858941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68609743.58805992</v>
      </c>
      <c r="F6" s="6" t="n">
        <v>46685301.33685334</v>
      </c>
      <c r="G6" s="6" t="n">
        <v>159029980.3263338</v>
      </c>
      <c r="H6" s="6" t="n">
        <v>2558007696.6203</v>
      </c>
      <c r="I6" s="7" t="n">
        <v>0.04000000189078801</v>
      </c>
      <c r="J6" s="7" t="n">
        <v>0.04312000189646037</v>
      </c>
      <c r="K6" t="n">
        <v>2</v>
      </c>
      <c r="L6" s="7" t="n">
        <v>0.0364</v>
      </c>
      <c r="M6" s="7" t="n">
        <v>0.03696000015803837</v>
      </c>
      <c r="N6" s="3" t="n">
        <v>279649.7698130184</v>
      </c>
      <c r="O6" s="3" t="n">
        <v>362372.7836082564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62180265.14471421</v>
      </c>
      <c r="F7" s="6" t="n">
        <v>55269271.23447712</v>
      </c>
      <c r="G7" s="6" t="n">
        <v>168986345.7344508</v>
      </c>
      <c r="H7" s="6" t="n">
        <v>2585680869.477796</v>
      </c>
      <c r="I7" s="7" t="n">
        <v>0.04000000189078801</v>
      </c>
      <c r="J7" s="7" t="n">
        <v>0.04312000189646037</v>
      </c>
      <c r="K7" t="n">
        <v>2</v>
      </c>
      <c r="L7" s="7" t="n">
        <v>0.0364</v>
      </c>
      <c r="M7" s="7" t="n">
        <v>0.03696000015803837</v>
      </c>
      <c r="N7" s="3" t="n">
        <v>282850.6586519453</v>
      </c>
      <c r="O7" s="3" t="n">
        <v>366967.0057137655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63092546.17374469</v>
      </c>
      <c r="F8" s="6" t="n">
        <v>42853467.77357857</v>
      </c>
      <c r="G8" s="6" t="n">
        <v>168969242.5220673</v>
      </c>
      <c r="H8" s="6" t="n">
        <v>2572621899.194949</v>
      </c>
      <c r="I8" s="7" t="n">
        <v>0.04000000189078801</v>
      </c>
      <c r="J8" s="7" t="n">
        <v>0.04312000189646037</v>
      </c>
      <c r="K8" t="n">
        <v>2</v>
      </c>
      <c r="L8" s="7" t="n">
        <v>0.0364</v>
      </c>
      <c r="M8" s="7" t="n">
        <v>0.03696000015803837</v>
      </c>
      <c r="N8" s="3" t="n">
        <v>281340.1592075377</v>
      </c>
      <c r="O8" s="3" t="n">
        <v>364188.9227772035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53391032.12136601</v>
      </c>
      <c r="F9" s="6" t="n">
        <v>56103361.97358591</v>
      </c>
      <c r="G9" s="6" t="n">
        <v>115233339.1487748</v>
      </c>
      <c r="H9" s="6" t="n">
        <v>2345720287.759628</v>
      </c>
      <c r="I9" s="7" t="n">
        <v>0.04000000189078801</v>
      </c>
      <c r="J9" s="7" t="n">
        <v>0.04312000189646037</v>
      </c>
      <c r="K9" t="n">
        <v>2</v>
      </c>
      <c r="L9" s="7" t="n">
        <v>0.0364</v>
      </c>
      <c r="M9" s="7" t="n">
        <v>0.03696000015803837</v>
      </c>
      <c r="N9" s="3" t="n">
        <v>255094.9997053048</v>
      </c>
      <c r="O9" s="3" t="n">
        <v>332147.2060702533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57937831.48920679</v>
      </c>
      <c r="F10" s="6" t="n">
        <v>49537660.03372651</v>
      </c>
      <c r="G10" s="6" t="n">
        <v>106666507.8312684</v>
      </c>
      <c r="H10" s="6" t="n">
        <v>2278641757.280401</v>
      </c>
      <c r="I10" s="7" t="n">
        <v>0.04000000189078801</v>
      </c>
      <c r="J10" s="7" t="n">
        <v>0.04312000189646037</v>
      </c>
      <c r="K10" t="n">
        <v>2</v>
      </c>
      <c r="L10" s="7" t="n">
        <v>0.0364</v>
      </c>
      <c r="M10" s="7" t="n">
        <v>0.03696000015803837</v>
      </c>
      <c r="N10" s="3" t="n">
        <v>247336.1886485374</v>
      </c>
      <c r="O10" s="3" t="n">
        <v>323172.2909274696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69818636.31013063</v>
      </c>
      <c r="F11" s="6" t="n">
        <v>46653227.32908139</v>
      </c>
      <c r="G11" s="6" t="n">
        <v>106913226.5360041</v>
      </c>
      <c r="H11" s="6" t="n">
        <v>2241790254.734592</v>
      </c>
      <c r="I11" s="7" t="n">
        <v>0.04000000189078801</v>
      </c>
      <c r="J11" s="7" t="n">
        <v>0.04312000189646037</v>
      </c>
      <c r="K11" t="n">
        <v>2</v>
      </c>
      <c r="L11" s="7" t="n">
        <v>0.0364</v>
      </c>
      <c r="M11" s="7" t="n">
        <v>0.03696000015803837</v>
      </c>
      <c r="N11" s="3" t="n">
        <v>243073.6646581012</v>
      </c>
      <c r="O11" s="3" t="n">
        <v>319996.9528558906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73802643.74943691</v>
      </c>
      <c r="F12" s="6" t="n">
        <v>47079021.09366943</v>
      </c>
      <c r="G12" s="6" t="n">
        <v>106954288.9193721</v>
      </c>
      <c r="H12" s="6" t="n">
        <v>2243931041.333749</v>
      </c>
      <c r="I12" s="7" t="n">
        <v>0.04000000189078801</v>
      </c>
      <c r="J12" s="7" t="n">
        <v>0.04312000189646037</v>
      </c>
      <c r="K12" t="n">
        <v>2</v>
      </c>
      <c r="L12" s="7" t="n">
        <v>0.0364</v>
      </c>
      <c r="M12" s="7" t="n">
        <v>0.03696000015803837</v>
      </c>
      <c r="N12" s="3" t="n">
        <v>243321.284255863</v>
      </c>
      <c r="O12" s="3" t="n">
        <v>320874.9145723091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75719331.31069086</v>
      </c>
      <c r="F13" s="6" t="n">
        <v>44503095.06236462</v>
      </c>
      <c r="G13" s="6" t="n">
        <v>106935113.0757522</v>
      </c>
      <c r="H13" s="6" t="n">
        <v>2236767859.988991</v>
      </c>
      <c r="I13" s="7" t="n">
        <v>0.04000000189078801</v>
      </c>
      <c r="J13" s="7" t="n">
        <v>0.04312000189646037</v>
      </c>
      <c r="K13" t="n">
        <v>2</v>
      </c>
      <c r="L13" s="7" t="n">
        <v>0.0364</v>
      </c>
      <c r="M13" s="7" t="n">
        <v>0.03696000015803837</v>
      </c>
      <c r="N13" s="3" t="n">
        <v>242492.7364295723</v>
      </c>
      <c r="O13" s="3" t="n">
        <v>319890.3473729173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58522232.32287996</v>
      </c>
      <c r="F14" s="6" t="n">
        <v>48518309.9896852</v>
      </c>
      <c r="G14" s="6" t="n">
        <v>107322066.296092</v>
      </c>
      <c r="H14" s="6" t="n">
        <v>2262397779.975451</v>
      </c>
      <c r="I14" s="7" t="n">
        <v>0.03750000355548933</v>
      </c>
      <c r="J14" s="7" t="n">
        <v>0.04061250356615579</v>
      </c>
      <c r="K14" t="n">
        <v>2</v>
      </c>
      <c r="L14" s="7" t="n">
        <v>0.0364</v>
      </c>
      <c r="M14" s="7" t="n">
        <v>0.03675104196384631</v>
      </c>
      <c r="N14" s="3" t="n">
        <v>236580.1547994352</v>
      </c>
      <c r="O14" s="3" t="n">
        <v>308233.8100403404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58481054.65838683</v>
      </c>
      <c r="F15" s="6" t="n">
        <v>45980271.39919786</v>
      </c>
      <c r="G15" s="6" t="n">
        <v>107333348.9757696</v>
      </c>
      <c r="H15" s="6" t="n">
        <v>2264915659.919558</v>
      </c>
      <c r="I15" s="7" t="n">
        <v>0.03750000355548933</v>
      </c>
      <c r="J15" s="7" t="n">
        <v>0.04061250356615579</v>
      </c>
      <c r="K15" t="n">
        <v>2</v>
      </c>
      <c r="L15" s="7" t="n">
        <v>0.0364</v>
      </c>
      <c r="M15" s="7" t="n">
        <v>0.03675104196384631</v>
      </c>
      <c r="N15" s="3" t="n">
        <v>236854.7875983278</v>
      </c>
      <c r="O15" s="3" t="n">
        <v>308249.5404192483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56578032.37202822</v>
      </c>
      <c r="F16" s="6" t="n">
        <v>35164479.28108363</v>
      </c>
      <c r="G16" s="6" t="n">
        <v>107387902.5867912</v>
      </c>
      <c r="H16" s="6" t="n">
        <v>2274516310.756644</v>
      </c>
      <c r="I16" s="7" t="n">
        <v>0.03750000355548933</v>
      </c>
      <c r="J16" s="7" t="n">
        <v>0.04061250356615579</v>
      </c>
      <c r="K16" t="n">
        <v>2</v>
      </c>
      <c r="L16" s="7" t="n">
        <v>0.0364</v>
      </c>
      <c r="M16" s="7" t="n">
        <v>0.03675104196384631</v>
      </c>
      <c r="N16" s="3" t="n">
        <v>237901.9596911633</v>
      </c>
      <c r="O16" s="3" t="n">
        <v>307922.1415884829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59203655.34857217</v>
      </c>
      <c r="F17" s="6" t="n">
        <v>48598283.90226091</v>
      </c>
      <c r="G17" s="6" t="n">
        <v>106417723.4543805</v>
      </c>
      <c r="H17" s="6" t="n">
        <v>2256905900.888595</v>
      </c>
      <c r="I17" s="7" t="n">
        <v>0.03750000355548933</v>
      </c>
      <c r="J17" s="7" t="n">
        <v>0.04061250356615579</v>
      </c>
      <c r="K17" t="n">
        <v>2</v>
      </c>
      <c r="L17" s="7" t="n">
        <v>0.0364</v>
      </c>
      <c r="M17" s="7" t="n">
        <v>0.03675104196384631</v>
      </c>
      <c r="N17" s="3" t="n">
        <v>235981.1388978499</v>
      </c>
      <c r="O17" s="3" t="n">
        <v>307644.8136679553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54020060.21808929</v>
      </c>
      <c r="F18" s="6" t="n">
        <v>43821045.62793529</v>
      </c>
      <c r="G18" s="6" t="n">
        <v>106551417.0948813</v>
      </c>
      <c r="H18" s="6" t="n">
        <v>2270514164.832382</v>
      </c>
      <c r="I18" s="7" t="n">
        <v>0.03750000355548933</v>
      </c>
      <c r="J18" s="7" t="n">
        <v>0.04061250356615579</v>
      </c>
      <c r="K18" t="n">
        <v>2</v>
      </c>
      <c r="L18" s="7" t="n">
        <v>0.0364</v>
      </c>
      <c r="M18" s="7" t="n">
        <v>0.03675104196384631</v>
      </c>
      <c r="N18" s="3" t="n">
        <v>237465.4335020061</v>
      </c>
      <c r="O18" s="3" t="n">
        <v>308059.6170554543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54890368.89710067</v>
      </c>
      <c r="F19" s="6" t="n">
        <v>45392662.81697104</v>
      </c>
      <c r="G19" s="6" t="n">
        <v>106911070.5772904</v>
      </c>
      <c r="H19" s="6" t="n">
        <v>2279792868.872539</v>
      </c>
      <c r="I19" s="7" t="n">
        <v>0.03750000355548933</v>
      </c>
      <c r="J19" s="7" t="n">
        <v>0.04061250356615579</v>
      </c>
      <c r="K19" t="n">
        <v>2</v>
      </c>
      <c r="L19" s="7" t="n">
        <v>0.0364</v>
      </c>
      <c r="M19" s="7" t="n">
        <v>0.03675104196384631</v>
      </c>
      <c r="N19" s="3" t="n">
        <v>238477.4898816631</v>
      </c>
      <c r="O19" s="3" t="n">
        <v>309387.7089399265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54259994.29568046</v>
      </c>
      <c r="F20" s="6" t="n">
        <v>45509943.33997048</v>
      </c>
      <c r="G20" s="6" t="n">
        <v>106936208.3821319</v>
      </c>
      <c r="H20" s="6" t="n">
        <v>2286918589.224516</v>
      </c>
      <c r="I20" s="7" t="n">
        <v>0.03750000355548933</v>
      </c>
      <c r="J20" s="7" t="n">
        <v>0.04061250356615579</v>
      </c>
      <c r="K20" t="n">
        <v>2</v>
      </c>
      <c r="L20" s="7" t="n">
        <v>0.0364</v>
      </c>
      <c r="M20" s="7" t="n">
        <v>0.03675104196384631</v>
      </c>
      <c r="N20" s="3" t="n">
        <v>239254.7138033077</v>
      </c>
      <c r="O20" s="3" t="n">
        <v>310125.1536941137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57690382.42227984</v>
      </c>
      <c r="F21" s="6" t="n">
        <v>42250269.42528031</v>
      </c>
      <c r="G21" s="6" t="n">
        <v>107032449.9192543</v>
      </c>
      <c r="H21" s="6" t="n">
        <v>2297397830.286649</v>
      </c>
      <c r="I21" s="7" t="n">
        <v>0.03750000355548933</v>
      </c>
      <c r="J21" s="7" t="n">
        <v>0.04061250356615579</v>
      </c>
      <c r="K21" t="n">
        <v>2</v>
      </c>
      <c r="L21" s="7" t="n">
        <v>0.0364</v>
      </c>
      <c r="M21" s="7" t="n">
        <v>0.03675104196384631</v>
      </c>
      <c r="N21" s="3" t="n">
        <v>240397.7163955875</v>
      </c>
      <c r="O21" s="3" t="n">
        <v>311318.9781473554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52717256.17130646</v>
      </c>
      <c r="F22" s="6" t="n">
        <v>46510535.17050985</v>
      </c>
      <c r="G22" s="6" t="n">
        <v>107504855.7115974</v>
      </c>
      <c r="H22" s="6" t="n">
        <v>2298512456.406452</v>
      </c>
      <c r="I22" s="7" t="n">
        <v>0.03750000355548933</v>
      </c>
      <c r="J22" s="7" t="n">
        <v>0.04061250356615579</v>
      </c>
      <c r="K22" t="n">
        <v>2</v>
      </c>
      <c r="L22" s="7" t="n">
        <v>0.0364</v>
      </c>
      <c r="M22" s="7" t="n">
        <v>0.03675104196384631</v>
      </c>
      <c r="N22" s="3" t="n">
        <v>240519.2920456564</v>
      </c>
      <c r="O22" s="3" t="n">
        <v>311436.7743801901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56769121.27752043</v>
      </c>
      <c r="F23" s="6" t="n">
        <v>40832137.52072863</v>
      </c>
      <c r="G23" s="6" t="n">
        <v>107436888.0729907</v>
      </c>
      <c r="H23" s="6" t="n">
        <v>2390260628.162775</v>
      </c>
      <c r="I23" s="7" t="n">
        <v>0.03750000355548933</v>
      </c>
      <c r="J23" s="7" t="n">
        <v>0.04061250356615579</v>
      </c>
      <c r="K23" t="n">
        <v>2</v>
      </c>
      <c r="L23" s="7" t="n">
        <v>0.0364</v>
      </c>
      <c r="M23" s="7" t="n">
        <v>0.03675104196384631</v>
      </c>
      <c r="N23" s="3" t="n">
        <v>250526.5432895799</v>
      </c>
      <c r="O23" s="3" t="n">
        <v>321269.9152686698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61562101.53902039</v>
      </c>
      <c r="F24" s="6" t="n">
        <v>46273853.74622926</v>
      </c>
      <c r="G24" s="6" t="n">
        <v>107184053.179774</v>
      </c>
      <c r="H24" s="6" t="n">
        <v>2378709141.743959</v>
      </c>
      <c r="I24" s="7" t="n">
        <v>0.03750000355548933</v>
      </c>
      <c r="J24" s="7" t="n">
        <v>0.04061250356615579</v>
      </c>
      <c r="K24" t="n">
        <v>2</v>
      </c>
      <c r="L24" s="7" t="n">
        <v>0.0364</v>
      </c>
      <c r="M24" s="7" t="n">
        <v>0.03675104196384631</v>
      </c>
      <c r="N24" s="3" t="n">
        <v>249266.5876455494</v>
      </c>
      <c r="O24" s="3" t="n">
        <v>321076.6795480434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84731364.744739</v>
      </c>
      <c r="F25" s="6" t="n">
        <v>56267546.52349077</v>
      </c>
      <c r="G25" s="6" t="n">
        <v>107194547.5382319</v>
      </c>
      <c r="H25" s="6" t="n">
        <v>2354787249.067712</v>
      </c>
      <c r="I25" s="7" t="n">
        <v>0.03750000355548933</v>
      </c>
      <c r="J25" s="7" t="n">
        <v>0.04061250356615579</v>
      </c>
      <c r="K25" t="n">
        <v>2</v>
      </c>
      <c r="L25" s="7" t="n">
        <v>0.0364</v>
      </c>
      <c r="M25" s="7" t="n">
        <v>0.03675104196384631</v>
      </c>
      <c r="N25" s="3" t="n">
        <v>246657.3542879933</v>
      </c>
      <c r="O25" s="3" t="n">
        <v>322076.0301177018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84150471.91215311</v>
      </c>
      <c r="F26" s="6" t="n">
        <v>65087459.91658953</v>
      </c>
      <c r="G26" s="6" t="n">
        <v>107211163.3616333</v>
      </c>
      <c r="H26" s="6" t="n">
        <v>2516933478.277649</v>
      </c>
      <c r="I26" s="7" t="n">
        <v>0.03750000355548933</v>
      </c>
      <c r="J26" s="7" t="n">
        <v>0.04061250356615579</v>
      </c>
      <c r="K26" t="n">
        <v>2</v>
      </c>
      <c r="L26" s="7" t="n">
        <v>0.0364</v>
      </c>
      <c r="M26" s="7" t="n">
        <v>0.03675104196384631</v>
      </c>
      <c r="N26" s="3" t="n">
        <v>264343.1350822774</v>
      </c>
      <c r="O26" s="3" t="n">
        <v>340698.6597746177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83173507.79702972</v>
      </c>
      <c r="F27" s="6" t="n">
        <v>53675447.63570868</v>
      </c>
      <c r="G27" s="6" t="n">
        <v>107220548.4053871</v>
      </c>
      <c r="H27" s="6" t="n">
        <v>2592075148.419126</v>
      </c>
      <c r="I27" s="7" t="n">
        <v>0.03750000355548933</v>
      </c>
      <c r="J27" s="7" t="n">
        <v>0.04061250356615579</v>
      </c>
      <c r="K27" t="n">
        <v>2</v>
      </c>
      <c r="L27" s="7" t="n">
        <v>0.0364</v>
      </c>
      <c r="M27" s="7" t="n">
        <v>0.03675104196384631</v>
      </c>
      <c r="N27" s="3" t="n">
        <v>272539.0648495859</v>
      </c>
      <c r="O27" s="3" t="n">
        <v>347548.926062625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86716154.42197838</v>
      </c>
      <c r="F28" s="6" t="n">
        <v>46780629.30083082</v>
      </c>
      <c r="G28" s="6" t="n">
        <v>107244908.9822976</v>
      </c>
      <c r="H28" s="6" t="n">
        <v>2589995769.099054</v>
      </c>
      <c r="I28" s="7" t="n">
        <v>0.03750000355548933</v>
      </c>
      <c r="J28" s="7" t="n">
        <v>0.04061250356615579</v>
      </c>
      <c r="K28" t="n">
        <v>2</v>
      </c>
      <c r="L28" s="7" t="n">
        <v>0.0364</v>
      </c>
      <c r="M28" s="7" t="n">
        <v>0.03675104196384631</v>
      </c>
      <c r="N28" s="3" t="n">
        <v>272312.2606431474</v>
      </c>
      <c r="O28" s="3" t="n">
        <v>346963.3264048395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88189793.45313863</v>
      </c>
      <c r="F29" s="6" t="n">
        <v>49855884.38853588</v>
      </c>
      <c r="G29" s="6" t="n">
        <v>108592021.8578287</v>
      </c>
      <c r="H29" s="6" t="n">
        <v>2567927776.798971</v>
      </c>
      <c r="I29" s="7" t="n">
        <v>0.03750000355548933</v>
      </c>
      <c r="J29" s="7" t="n">
        <v>0.04061250356615579</v>
      </c>
      <c r="K29" t="n">
        <v>2</v>
      </c>
      <c r="L29" s="7" t="n">
        <v>0.0364</v>
      </c>
      <c r="M29" s="7" t="n">
        <v>0.03675104196384631</v>
      </c>
      <c r="N29" s="3" t="n">
        <v>269905.2378200394</v>
      </c>
      <c r="O29" s="3" t="n">
        <v>345204.7592439654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86303872.78026079</v>
      </c>
      <c r="F30" s="6" t="n">
        <v>48595894.60552943</v>
      </c>
      <c r="G30" s="6" t="n">
        <v>107978396.0840361</v>
      </c>
      <c r="H30" s="6" t="n">
        <v>2553432404.170715</v>
      </c>
      <c r="I30" s="7" t="n">
        <v>0.03750000355548933</v>
      </c>
      <c r="J30" s="7" t="n">
        <v>0.04061250356615579</v>
      </c>
      <c r="K30" t="n">
        <v>2</v>
      </c>
      <c r="L30" s="7" t="n">
        <v>0.0364</v>
      </c>
      <c r="M30" s="7" t="n">
        <v>0.03675104196384631</v>
      </c>
      <c r="N30" s="3" t="n">
        <v>268324.1835822448</v>
      </c>
      <c r="O30" s="3" t="n">
        <v>343214.1208375512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89210294.50223809</v>
      </c>
      <c r="F31" s="6" t="n">
        <v>46693711.48266955</v>
      </c>
      <c r="G31" s="6" t="n">
        <v>112655549.2029514</v>
      </c>
      <c r="H31" s="6" t="n">
        <v>2566289736.143323</v>
      </c>
      <c r="I31" s="7" t="n">
        <v>0.03750000355548933</v>
      </c>
      <c r="J31" s="7" t="n">
        <v>0.04061250356615579</v>
      </c>
      <c r="K31" t="n">
        <v>2</v>
      </c>
      <c r="L31" s="7" t="n">
        <v>0.0364</v>
      </c>
      <c r="M31" s="7" t="n">
        <v>0.03675104196384631</v>
      </c>
      <c r="N31" s="3" t="n">
        <v>269726.5717597242</v>
      </c>
      <c r="O31" s="3" t="n">
        <v>345259.2826226361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89998145.86291027</v>
      </c>
      <c r="F32" s="6" t="n">
        <v>46914770.62487348</v>
      </c>
      <c r="G32" s="6" t="n">
        <v>112685017.5580367</v>
      </c>
      <c r="H32" s="6" t="n">
        <v>2560684078.145178</v>
      </c>
      <c r="I32" s="7" t="n">
        <v>0.03750000355548933</v>
      </c>
      <c r="J32" s="7" t="n">
        <v>0.04061250356615579</v>
      </c>
      <c r="K32" t="n">
        <v>2</v>
      </c>
      <c r="L32" s="7" t="n">
        <v>0.0364</v>
      </c>
      <c r="M32" s="7" t="n">
        <v>0.03675104196384631</v>
      </c>
      <c r="N32" s="3" t="n">
        <v>269115.1456473442</v>
      </c>
      <c r="O32" s="3" t="n">
        <v>344774.924897235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89688160.39976697</v>
      </c>
      <c r="F33" s="6" t="n">
        <v>48025411.35118448</v>
      </c>
      <c r="G33" s="6" t="n">
        <v>112893900.0040528</v>
      </c>
      <c r="H33" s="6" t="n">
        <v>2544509849.436676</v>
      </c>
      <c r="I33" s="7" t="n">
        <v>0.03750000355548933</v>
      </c>
      <c r="J33" s="7" t="n">
        <v>0.04061250356615579</v>
      </c>
      <c r="K33" t="n">
        <v>2</v>
      </c>
      <c r="L33" s="7" t="n">
        <v>0.0364</v>
      </c>
      <c r="M33" s="7" t="n">
        <v>0.03675104196384631</v>
      </c>
      <c r="N33" s="3" t="n">
        <v>267350.9734871342</v>
      </c>
      <c r="O33" s="3" t="n">
        <v>343118.8118121212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89848531.62996262</v>
      </c>
      <c r="F34" s="6" t="n">
        <v>49256122.71051931</v>
      </c>
      <c r="G34" s="6" t="n">
        <v>112902235.561008</v>
      </c>
      <c r="H34" s="6" t="n">
        <v>2692943170.865651</v>
      </c>
      <c r="I34" s="7" t="n">
        <v>0.03750000355548933</v>
      </c>
      <c r="J34" s="7" t="n">
        <v>0.04061250356615579</v>
      </c>
      <c r="K34" t="n">
        <v>2</v>
      </c>
      <c r="L34" s="7" t="n">
        <v>0.0364</v>
      </c>
      <c r="M34" s="7" t="n">
        <v>0.03675104196384631</v>
      </c>
      <c r="N34" s="3" t="n">
        <v>283541.0458566954</v>
      </c>
      <c r="O34" s="3" t="n">
        <v>359463.4021277596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89704531.86731154</v>
      </c>
      <c r="F35" s="6" t="n">
        <v>62226693.88791864</v>
      </c>
      <c r="G35" s="6" t="n">
        <v>123415130.4064669</v>
      </c>
      <c r="H35" s="6" t="n">
        <v>2706139705.997734</v>
      </c>
      <c r="I35" s="7" t="n">
        <v>0.03750000355548933</v>
      </c>
      <c r="J35" s="7" t="n">
        <v>0.04061250356615579</v>
      </c>
      <c r="K35" t="n">
        <v>2</v>
      </c>
      <c r="L35" s="7" t="n">
        <v>0.0364</v>
      </c>
      <c r="M35" s="7" t="n">
        <v>0.03675104196384631</v>
      </c>
      <c r="N35" s="3" t="n">
        <v>284980.4319511319</v>
      </c>
      <c r="O35" s="3" t="n">
        <v>363453.5318884568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89830501.58562304</v>
      </c>
      <c r="F36" s="6" t="n">
        <v>75491854.16687198</v>
      </c>
      <c r="G36" s="6" t="n">
        <v>125802289.7933941</v>
      </c>
      <c r="H36" s="6" t="n">
        <v>2799787611.664866</v>
      </c>
      <c r="I36" s="7" t="n">
        <v>0.03750000355548933</v>
      </c>
      <c r="J36" s="7" t="n">
        <v>0.04061250356615579</v>
      </c>
      <c r="K36" t="n">
        <v>2</v>
      </c>
      <c r="L36" s="7" t="n">
        <v>0.0364</v>
      </c>
      <c r="M36" s="7" t="n">
        <v>0.03675104196384631</v>
      </c>
      <c r="N36" s="3" t="n">
        <v>295194.8929320796</v>
      </c>
      <c r="O36" s="3" t="n">
        <v>375389.7649814264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7982375.576819404</v>
      </c>
      <c r="O38" s="12" t="n">
        <v>10311501.09741878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2026-07-07T15:13:50Z</dcterms:created>
  <dcterms:modified xmlns:dcterms="http://purl.org/dc/terms/" xmlns:xsi="http://www.w3.org/2001/XMLSchema-instance" xsi:type="dcterms:W3CDTF">2026-07-07T15:13:50Z</dcterms:modified>
</cp:coreProperties>
</file>