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10152205.00021997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11687387.49221754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7801904.956334603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7807884.847342123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7801904.956334603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10152205.00021997</v>
      </c>
    </row>
    <row r="23">
      <c r="A23" t="inlineStr">
        <is>
          <t>− CoF (deducted per-venue in display)</t>
        </is>
      </c>
      <c r="B23" s="3" t="n">
        <v>-7801904.956334603</v>
      </c>
    </row>
    <row r="24">
      <c r="A24" t="inlineStr"/>
      <c r="B24" s="4" t="n">
        <v>1038450.861820448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2026-07-07T00:08:18+00:00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2539761.461638205</v>
      </c>
      <c r="O2" s="6" t="n">
        <v>2539761.461638205</v>
      </c>
      <c r="P2" s="6" t="n">
        <v>-737388.7582616191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1395874.163734499</v>
      </c>
      <c r="O3" s="6" t="n">
        <v>1395874.163734499</v>
      </c>
      <c r="P3" s="6" t="n">
        <v>1263944.836265505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879827.3388797356</v>
      </c>
      <c r="O4" s="6" t="n">
        <v>879827.3388797356</v>
      </c>
      <c r="P4" s="6" t="n">
        <v>-304596.6418177356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613451.2961528412</v>
      </c>
      <c r="O5" s="6" t="n">
        <v>613451.2961528412</v>
      </c>
      <c r="P5" s="6" t="n">
        <v>-8904.576282162108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449760.2044617854</v>
      </c>
      <c r="O6" s="6" t="n">
        <v>449760.2044617854</v>
      </c>
      <c r="P6" s="6" t="n">
        <v>120569.3703913877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399153.1420595762</v>
      </c>
      <c r="O7" s="6" t="n">
        <v>360687.9777515435</v>
      </c>
      <c r="P7" s="6" t="n">
        <v>90184.9506127239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288939.0078838717</v>
      </c>
      <c r="O8" s="6" t="n">
        <v>288939.0078838717</v>
      </c>
      <c r="P8" s="6" t="n">
        <v>126155.9978172489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264006.4535453353</v>
      </c>
      <c r="O9" s="6" t="n">
        <v>264006.4535453353</v>
      </c>
      <c r="P9" s="6" t="n">
        <v>-254623.7350979545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263999.730428277</v>
      </c>
      <c r="O10" s="6" t="n">
        <v>263999.730428277</v>
      </c>
      <c r="P10" s="6" t="n">
        <v>-192540.283780277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267732.2668608468</v>
      </c>
      <c r="O11" s="6" t="n">
        <v>241931.7292971779</v>
      </c>
      <c r="P11" s="6" t="n">
        <v>55662.64194402007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198810.8075551033</v>
      </c>
      <c r="O12" s="6" t="n">
        <v>179652.0196789494</v>
      </c>
      <c r="P12" s="6" t="n">
        <v>41333.5864417601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172403.0735875621</v>
      </c>
      <c r="I13" s="6" t="n">
        <v>0</v>
      </c>
      <c r="J13" s="6" t="n">
        <v>172403.0735875621</v>
      </c>
      <c r="K13" s="6" t="n">
        <v>0</v>
      </c>
      <c r="L13" s="6" t="n">
        <v>54328358.31940125</v>
      </c>
      <c r="M13" s="7" t="n">
        <v>1</v>
      </c>
      <c r="N13" s="6" t="n">
        <v>143429.9277141558</v>
      </c>
      <c r="O13" s="6" t="n">
        <v>143429.9277141558</v>
      </c>
      <c r="P13" s="6" t="n">
        <v>28973.1458734063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122531.0290994282</v>
      </c>
      <c r="O14" s="6" t="n">
        <v>122531.0290994282</v>
      </c>
      <c r="P14" s="6" t="n">
        <v>-122531.0290994282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42207.75995695939</v>
      </c>
      <c r="O16" s="6" t="n">
        <v>42207.75995695939</v>
      </c>
      <c r="P16" s="6" t="n">
        <v>-42207.75995695939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26699.86459070966</v>
      </c>
      <c r="O17" s="6" t="n">
        <v>26699.86459070966</v>
      </c>
      <c r="P17" s="6" t="n">
        <v>16841.04773656991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26399.29611469814</v>
      </c>
      <c r="O18" s="6" t="n">
        <v>26399.29611469814</v>
      </c>
      <c r="P18" s="6" t="n">
        <v>-7088.884972698137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1.2448e-10</v>
      </c>
      <c r="I19" s="6" t="n">
        <v>0</v>
      </c>
      <c r="J19" s="6" t="n">
        <v>1.2448e-10</v>
      </c>
      <c r="K19" s="6" t="n">
        <v>0</v>
      </c>
      <c r="L19" s="6" t="n">
        <v>4999233.117450742</v>
      </c>
      <c r="M19" s="7" t="n">
        <v>1</v>
      </c>
      <c r="N19" s="6" t="n">
        <v>13198.25716887364</v>
      </c>
      <c r="O19" s="6" t="n">
        <v>13198.25716887364</v>
      </c>
      <c r="P19" s="6" t="n">
        <v>-13198.25716887352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-7.09e-10</v>
      </c>
      <c r="I20" s="6" t="n">
        <v>0</v>
      </c>
      <c r="J20" s="6" t="n">
        <v>-7.09e-10</v>
      </c>
      <c r="K20" s="6" t="n">
        <v>0</v>
      </c>
      <c r="L20" s="6" t="n">
        <v>4991412.147209226</v>
      </c>
      <c r="M20" s="7" t="n">
        <v>1</v>
      </c>
      <c r="N20" s="6" t="n">
        <v>13177.60936667428</v>
      </c>
      <c r="O20" s="6" t="n">
        <v>13177.60936667428</v>
      </c>
      <c r="P20" s="6" t="n">
        <v>-13177.60936667499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-7.873499999999999e-09</v>
      </c>
      <c r="I21" s="6" t="n">
        <v>0</v>
      </c>
      <c r="J21" s="6" t="n">
        <v>-7.873499999999999e-09</v>
      </c>
      <c r="K21" s="6" t="n">
        <v>0</v>
      </c>
      <c r="L21" s="6" t="n">
        <v>4983312.812056454</v>
      </c>
      <c r="M21" s="7" t="n">
        <v>1</v>
      </c>
      <c r="N21" s="6" t="n">
        <v>13156.22666542155</v>
      </c>
      <c r="O21" s="6" t="n">
        <v>13156.22666542155</v>
      </c>
      <c r="P21" s="6" t="n">
        <v>-13156.22666542942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3.9e-10</v>
      </c>
      <c r="I22" s="6" t="n">
        <v>0</v>
      </c>
      <c r="J22" s="6" t="n">
        <v>3.9e-10</v>
      </c>
      <c r="K22" s="6" t="n">
        <v>0</v>
      </c>
      <c r="L22" s="6" t="n">
        <v>4975726.070058744</v>
      </c>
      <c r="M22" s="7" t="n">
        <v>1</v>
      </c>
      <c r="N22" s="6" t="n">
        <v>13136.1972389861</v>
      </c>
      <c r="O22" s="6" t="n">
        <v>13136.1972389861</v>
      </c>
      <c r="P22" s="6" t="n">
        <v>-13136.19723898571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4535.202388991448</v>
      </c>
      <c r="O24" s="6" t="n">
        <v>4535.202388991448</v>
      </c>
      <c r="P24" s="6" t="n">
        <v>314.2949673761746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2577.614765965594</v>
      </c>
      <c r="O25" s="6" t="n">
        <v>2329.217935155028</v>
      </c>
      <c r="P25" s="6" t="n">
        <v>535.8967354582393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6.812880428605649</v>
      </c>
      <c r="O27" s="6" t="n">
        <v>6.812880428605649</v>
      </c>
      <c r="P27" s="6" t="n">
        <v>-3.33288042860052</v>
      </c>
      <c r="Q27" s="6" t="n">
        <v>0</v>
      </c>
      <c r="R27" s="6" t="n">
        <v>0</v>
      </c>
      <c r="S27" t="inlineStr"/>
    </row>
    <row r="28">
      <c r="A28" t="inlineStr">
        <is>
          <t>S61</t>
        </is>
      </c>
      <c r="B28" t="inlineStr">
        <is>
          <t>Spark.fi PYUSD Reserve Uniswap V4 (PYUSD/USDS)</t>
        </is>
      </c>
      <c r="C28" t="inlineStr">
        <is>
          <t>ethereum</t>
        </is>
      </c>
      <c r="D28" t="inlineStr">
        <is>
          <t>F</t>
        </is>
      </c>
      <c r="E28" s="6" t="n">
        <v>220000.0301712902</v>
      </c>
      <c r="F28" s="6" t="n">
        <v>220002.4647086113</v>
      </c>
      <c r="G28" s="6" t="n">
        <v>2.434537321108676</v>
      </c>
      <c r="H28" s="6" t="n">
        <v>2.434537321108676</v>
      </c>
      <c r="I28" s="6" t="n">
        <v>0</v>
      </c>
      <c r="J28" s="6" t="n">
        <v>0</v>
      </c>
      <c r="K28" s="6" t="n">
        <v>2.434537321108676</v>
      </c>
      <c r="L28" s="6" t="n">
        <v>220000.0301712902</v>
      </c>
      <c r="M28" s="7" t="n">
        <v>0</v>
      </c>
      <c r="N28" s="6" t="n">
        <v>0</v>
      </c>
      <c r="O28" s="6" t="n">
        <v>2.434537321108676</v>
      </c>
      <c r="P28" s="6" t="n">
        <v>0</v>
      </c>
      <c r="Q28" s="6" t="n">
        <v>220000.0301712902</v>
      </c>
      <c r="R28" s="6" t="n">
        <v>0</v>
      </c>
      <c r="S28" t="inlineStr">
        <is>
          <t>SDE (fixed)</t>
        </is>
      </c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494.7150552250027</v>
      </c>
      <c r="F29" s="6" t="n">
        <v>427.8972157084487</v>
      </c>
      <c r="G29" s="6" t="n">
        <v>-66.81783951655405</v>
      </c>
      <c r="H29" s="6" t="n">
        <v>1.294544801609128</v>
      </c>
      <c r="I29" s="6" t="n">
        <v>0</v>
      </c>
      <c r="J29" s="6" t="n">
        <v>1.294544801609128</v>
      </c>
      <c r="K29" s="6" t="n">
        <v>0</v>
      </c>
      <c r="L29" s="6" t="n">
        <v>458.0624343200989</v>
      </c>
      <c r="M29" s="7" t="n">
        <v>1</v>
      </c>
      <c r="N29" s="6" t="n">
        <v>1.209310641356889</v>
      </c>
      <c r="O29" s="6" t="n">
        <v>1.209310641356889</v>
      </c>
      <c r="P29" s="6" t="n">
        <v>0.08523416025223907</v>
      </c>
      <c r="Q29" s="6" t="n">
        <v>0</v>
      </c>
      <c r="R29" s="6" t="n">
        <v>0</v>
      </c>
      <c r="S29" t="inlineStr"/>
    </row>
    <row r="30">
      <c r="A30" t="inlineStr">
        <is>
          <t>S12</t>
        </is>
      </c>
      <c r="B30" t="inlineStr">
        <is>
          <t>Spark DAI Vault (Morpho)</t>
        </is>
      </c>
      <c r="C30" t="inlineStr">
        <is>
          <t>ethereum</t>
        </is>
      </c>
      <c r="D30" t="inlineStr">
        <is>
          <t>B</t>
        </is>
      </c>
      <c r="E30" s="6" t="n">
        <v>344.9608587271188</v>
      </c>
      <c r="F30" s="6" t="n">
        <v>359.9872090112888</v>
      </c>
      <c r="G30" s="6" t="n">
        <v>15.02635028417003</v>
      </c>
      <c r="H30" s="6" t="n">
        <v>0.9534365097586575</v>
      </c>
      <c r="I30" s="6" t="n">
        <v>0</v>
      </c>
      <c r="J30" s="6" t="n">
        <v>0.9534365097586575</v>
      </c>
      <c r="K30" s="6" t="n">
        <v>0</v>
      </c>
      <c r="L30" s="6" t="n">
        <v>345.4148236875836</v>
      </c>
      <c r="M30" s="7" t="n">
        <v>1</v>
      </c>
      <c r="N30" s="6" t="n">
        <v>0.9119146008727397</v>
      </c>
      <c r="O30" s="6" t="n">
        <v>0.9119146008727397</v>
      </c>
      <c r="P30" s="6" t="n">
        <v>0.04152190888591774</v>
      </c>
      <c r="Q30" s="6" t="n">
        <v>0</v>
      </c>
      <c r="R30" s="6" t="n">
        <v>0</v>
      </c>
      <c r="S30" t="inlineStr"/>
    </row>
    <row r="31">
      <c r="A31" t="inlineStr">
        <is>
          <t>S36</t>
        </is>
      </c>
      <c r="B31" t="inlineStr">
        <is>
          <t>Fluid Savings USDS (fsUSDS, Base)</t>
        </is>
      </c>
      <c r="C31" t="inlineStr">
        <is>
          <t>base</t>
        </is>
      </c>
      <c r="D31" t="inlineStr">
        <is>
          <t>B</t>
        </is>
      </c>
      <c r="E31" s="6" t="n">
        <v>283.8972488542868</v>
      </c>
      <c r="F31" s="6" t="n">
        <v>283.8972488542868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283.8972488542868</v>
      </c>
      <c r="M31" s="7" t="n">
        <v>1</v>
      </c>
      <c r="N31" s="6" t="n">
        <v>0.7495047364035058</v>
      </c>
      <c r="O31" s="6" t="n">
        <v>0.7495047364035058</v>
      </c>
      <c r="P31" s="6" t="n">
        <v>-0.7495047364035058</v>
      </c>
      <c r="Q31" s="6" t="n">
        <v>0</v>
      </c>
      <c r="R31" s="6" t="n">
        <v>0</v>
      </c>
      <c r="S31" t="inlineStr"/>
    </row>
    <row r="32">
      <c r="A32" t="inlineStr">
        <is>
          <t>S55</t>
        </is>
      </c>
      <c r="B32" t="inlineStr">
        <is>
          <t>USDC raw (Avalanche-C — ALM idle)</t>
        </is>
      </c>
      <c r="C32" t="inlineStr">
        <is>
          <t>avalanche_c</t>
        </is>
      </c>
      <c r="D32" t="inlineStr">
        <is>
          <t>A</t>
        </is>
      </c>
      <c r="E32" s="6" t="n">
        <v>0</v>
      </c>
      <c r="F32" s="6" t="n">
        <v>10.263802</v>
      </c>
      <c r="G32" s="6" t="n">
        <v>10.263802</v>
      </c>
      <c r="H32" s="6" t="n">
        <v>-1.870482e-08</v>
      </c>
      <c r="I32" s="6" t="n">
        <v>0</v>
      </c>
      <c r="J32" s="6" t="n">
        <v>-1.870482e-08</v>
      </c>
      <c r="K32" s="6" t="n">
        <v>0</v>
      </c>
      <c r="L32" s="6" t="n">
        <v>220.7452181171656</v>
      </c>
      <c r="M32" s="7" t="n">
        <v>1</v>
      </c>
      <c r="N32" s="6" t="n">
        <v>0.5827798162361175</v>
      </c>
      <c r="O32" s="6" t="n">
        <v>0.5827798162361175</v>
      </c>
      <c r="P32" s="6" t="n">
        <v>-0.5827798349409374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0.2610522475301152</v>
      </c>
      <c r="O33" s="6" t="n">
        <v>0.2610522475301152</v>
      </c>
      <c r="P33" s="6" t="n">
        <v>0.02754552974730608</v>
      </c>
      <c r="Q33" s="6" t="n">
        <v>0</v>
      </c>
      <c r="R33" s="6" t="n">
        <v>0</v>
      </c>
      <c r="S33" t="inlineStr"/>
    </row>
    <row r="34">
      <c r="A34" t="inlineStr">
        <is>
          <t>S27</t>
        </is>
      </c>
      <c r="B34" t="inlineStr">
        <is>
          <t>USDT raw (ALM idle — $442M as of 2026-04)</t>
        </is>
      </c>
      <c r="C34" t="inlineStr">
        <is>
          <t>ethereum</t>
        </is>
      </c>
      <c r="D34" t="inlineStr">
        <is>
          <t>A</t>
        </is>
      </c>
      <c r="E34" s="6" t="n">
        <v>1868.74164</v>
      </c>
      <c r="F34" s="6" t="n">
        <v>0</v>
      </c>
      <c r="G34" s="6" t="n">
        <v>-1868.74164</v>
      </c>
      <c r="H34" s="6" t="n">
        <v>-9.778202630006999e-08</v>
      </c>
      <c r="I34" s="6" t="n">
        <v>0</v>
      </c>
      <c r="J34" s="6" t="n">
        <v>-9.778202630006999e-08</v>
      </c>
      <c r="K34" s="6" t="n">
        <v>0</v>
      </c>
      <c r="L34" s="6" t="n">
        <v>49.19685105012429</v>
      </c>
      <c r="M34" s="7" t="n">
        <v>1</v>
      </c>
      <c r="N34" s="6" t="n">
        <v>0.1298824593299653</v>
      </c>
      <c r="O34" s="6" t="n">
        <v>0.1298824593299653</v>
      </c>
      <c r="P34" s="6" t="n">
        <v>-0.1298825571119916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21.90659475982325</v>
      </c>
      <c r="F35" s="6" t="n">
        <v>21.9066008120297</v>
      </c>
      <c r="G35" s="6" t="n">
        <v>6.052206450123245e-06</v>
      </c>
      <c r="H35" s="6" t="n">
        <v>6.052206450123245e-06</v>
      </c>
      <c r="I35" s="6" t="n">
        <v>0</v>
      </c>
      <c r="J35" s="6" t="n">
        <v>6.052206450123245e-06</v>
      </c>
      <c r="K35" s="6" t="n">
        <v>0</v>
      </c>
      <c r="L35" s="6" t="n">
        <v>21.90659475982325</v>
      </c>
      <c r="M35" s="7" t="n">
        <v>1</v>
      </c>
      <c r="N35" s="6" t="n">
        <v>0.05783464474284855</v>
      </c>
      <c r="O35" s="6" t="n">
        <v>0.05783464474284855</v>
      </c>
      <c r="P35" s="6" t="n">
        <v>-0.05782859253639842</v>
      </c>
      <c r="Q35" s="6" t="n">
        <v>0</v>
      </c>
      <c r="R35" s="6" t="n">
        <v>0</v>
      </c>
      <c r="S35" t="inlineStr"/>
    </row>
    <row r="36">
      <c r="A36" t="inlineStr">
        <is>
          <t>S23</t>
        </is>
      </c>
      <c r="B36" t="inlineStr">
        <is>
          <t>Anchorage tri-party loan escrow (USDC pass-through, ~$0 balance)</t>
        </is>
      </c>
      <c r="C36" t="inlineStr">
        <is>
          <t>ethereum</t>
        </is>
      </c>
      <c r="D36" t="inlineStr">
        <is>
          <t>E</t>
        </is>
      </c>
      <c r="E36" s="6" t="n">
        <v>1.210594</v>
      </c>
      <c r="F36" s="6" t="n">
        <v>133501.211399</v>
      </c>
      <c r="G36" s="6" t="n">
        <v>133500.000805</v>
      </c>
      <c r="H36" s="6" t="n">
        <v>133500.000805</v>
      </c>
      <c r="I36" s="6" t="n">
        <v>0</v>
      </c>
      <c r="J36" s="6" t="n">
        <v>133500.000805</v>
      </c>
      <c r="K36" s="6" t="n">
        <v>0</v>
      </c>
      <c r="L36" s="6" t="n">
        <v>1.210594</v>
      </c>
      <c r="M36" s="7" t="n">
        <v>1</v>
      </c>
      <c r="N36" s="6" t="n">
        <v>0.003196036384725131</v>
      </c>
      <c r="O36" s="6" t="n">
        <v>0.003196036384725131</v>
      </c>
      <c r="P36" s="6" t="n">
        <v>133499.9976089636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0.0001517055584080709</v>
      </c>
      <c r="O37" s="6" t="n">
        <v>0.0001517055584080709</v>
      </c>
      <c r="P37" s="6" t="n">
        <v>-5.470555840807093e-05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1.668251611611994e-05</v>
      </c>
      <c r="O38" s="6" t="n">
        <v>1.668251611611994e-05</v>
      </c>
      <c r="P38" s="6" t="n">
        <v>-8.682516116119942e-06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1.515576190023186e-05</v>
      </c>
      <c r="O39" s="6" t="n">
        <v>1.515576190023186e-05</v>
      </c>
      <c r="P39" s="6" t="n">
        <v>-1.467547818118886e-05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4.466975355036389e-06</v>
      </c>
      <c r="O40" s="6" t="n">
        <v>4.466975355036389e-06</v>
      </c>
      <c r="P40" s="6" t="n">
        <v>-4.66975355036389e-07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3.274051820240921e-06</v>
      </c>
      <c r="O41" s="6" t="n">
        <v>3.274051820240921e-06</v>
      </c>
      <c r="P41" s="6" t="n">
        <v>-3.274051820240921e-06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9.12781293075e-07</v>
      </c>
      <c r="I42" s="6" t="n">
        <v>0</v>
      </c>
      <c r="J42" s="6" t="n">
        <v>9.12781293075e-07</v>
      </c>
      <c r="K42" s="6" t="n">
        <v>0</v>
      </c>
      <c r="L42" s="6" t="n">
        <v>0.000519245328957253</v>
      </c>
      <c r="M42" s="7" t="n">
        <v>1</v>
      </c>
      <c r="N42" s="6" t="n">
        <v>1.370836931246934e-06</v>
      </c>
      <c r="O42" s="6" t="n">
        <v>1.370836931246934e-06</v>
      </c>
      <c r="P42" s="6" t="n">
        <v>-4.580556381719338e-07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1.977303892550188e-07</v>
      </c>
      <c r="O43" s="6" t="n">
        <v>1.977303892550188e-07</v>
      </c>
      <c r="P43" s="6" t="n">
        <v>-1.977303892550188e-07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1.4613665e-07</v>
      </c>
      <c r="I49" s="6" t="n">
        <v>0</v>
      </c>
      <c r="J49" s="6" t="n">
        <v>1.4613665e-07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1.4613665e-07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-2.7726355e-07</v>
      </c>
      <c r="I50" s="6" t="n">
        <v>0</v>
      </c>
      <c r="J50" s="6" t="n">
        <v>-2.7726355e-07</v>
      </c>
      <c r="K50" s="6" t="n">
        <v>0</v>
      </c>
      <c r="L50" s="6" t="n">
        <v>1.886069370967742e-07</v>
      </c>
      <c r="M50" s="7" t="n">
        <v>0</v>
      </c>
      <c r="N50" s="6" t="n">
        <v>0</v>
      </c>
      <c r="O50" s="6" t="n">
        <v>0</v>
      </c>
      <c r="P50" s="6" t="n">
        <v>-2.7726355e-07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0.03941450206741989</v>
      </c>
    </row>
    <row r="12">
      <c r="A12" s="8" t="inlineStr">
        <is>
          <t>Diff vs base rate (bps)</t>
        </is>
      </c>
      <c r="B12" s="11" t="n">
        <v>-18.32221446544094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7982375.576819404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7801904.956334603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7807884.847342123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7801904.956334603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279649.7698130184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282850.6586519453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281340.1592075377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255094.9997053048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247336.1886485374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243073.6646581012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243321.284255863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242492.7364295723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236580.1547994352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236854.7875983278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237901.9596911633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235981.1388978499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237465.4335020061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238477.4898816631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239254.7138033077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240397.7163955875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240519.2920456564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250526.5432895799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249266.5876455494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246657.3542879933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264343.1350822774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272539.0648495859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272312.2606431474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269905.2378200394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268324.1835822448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269726.5717597242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269115.1456473442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267350.9734871342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283541.0458566954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284980.4319511319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295194.8929320796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7982375.576819404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2026-07-07T00:08:18Z</dcterms:created>
  <dcterms:modified xmlns:dcterms="http://purl.org/dc/terms/" xmlns:xsi="http://www.w3.org/2001/XMLSchema-instance" xsi:type="dcterms:W3CDTF">2026-07-07T00:08:18Z</dcterms:modified>
</cp:coreProperties>
</file>