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10152205.00022014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/>
      <c r="B6" s="4" t="n">
        <v>10275116.67221771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7803415.915572274</v>
      </c>
    </row>
    <row r="10">
      <c r="A10" t="inlineStr">
        <is>
          <t>+ SDE revenue (Sky-Direct, full to Sky)</t>
        </is>
      </c>
      <c r="B10" s="3" t="n">
        <v>5964.764912320331</v>
      </c>
    </row>
    <row r="11">
      <c r="A11" t="inlineStr"/>
      <c r="B11" s="4" t="n">
        <v>7809380.680484595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7803415.915572274</v>
      </c>
    </row>
    <row r="15">
      <c r="A15" t="inlineStr">
        <is>
          <t>reduction from idle/SDE deductions</t>
        </is>
      </c>
      <c r="B15" s="3" t="n">
        <v>-2508085.181846506</v>
      </c>
    </row>
    <row r="16">
      <c r="A16" t="inlineStr"/>
      <c r="B16" s="4" t="n">
        <v>10311501.09741878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10152205.00022014</v>
      </c>
    </row>
    <row r="22">
      <c r="A22" t="inlineStr">
        <is>
          <t>− CoF (deducted per-venue in display)</t>
        </is>
      </c>
      <c r="B22" s="3" t="n">
        <v>-7803415.915572274</v>
      </c>
    </row>
    <row r="23">
      <c r="A23" t="inlineStr"/>
      <c r="B23" s="4" t="n">
        <v>1036939.902582951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2026-06-25T22:33:45+00:00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1802372.703376638</v>
      </c>
      <c r="I2" s="6" t="n">
        <v>0</v>
      </c>
      <c r="J2" s="6" t="n">
        <v>1802372.703376638</v>
      </c>
      <c r="K2" s="6" t="n">
        <v>0</v>
      </c>
      <c r="L2" s="6" t="n">
        <v>962010320.528584</v>
      </c>
      <c r="M2" s="7" t="n">
        <v>1</v>
      </c>
      <c r="N2" s="6" t="n">
        <v>2540242.205247048</v>
      </c>
      <c r="O2" s="6" t="n">
        <v>2540242.205247048</v>
      </c>
      <c r="P2" s="6" t="n">
        <v>-737869.5018704099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1396138.384446995</v>
      </c>
      <c r="O3" s="6" t="n">
        <v>1396138.384446995</v>
      </c>
      <c r="P3" s="6" t="n">
        <v>1263680.615553005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879993.8786813826</v>
      </c>
      <c r="O4" s="6" t="n">
        <v>879993.8786813826</v>
      </c>
      <c r="P4" s="6" t="n">
        <v>-304763.1816193826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613567.4144554521</v>
      </c>
      <c r="O5" s="6" t="n">
        <v>613567.4144554521</v>
      </c>
      <c r="P5" s="6" t="n">
        <v>-9020.694584773077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449845.3381828347</v>
      </c>
      <c r="O6" s="6" t="n">
        <v>449845.3381828347</v>
      </c>
      <c r="P6" s="6" t="n">
        <v>120484.2366703383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399228.6965259673</v>
      </c>
      <c r="O7" s="6" t="n">
        <v>360763.5322179346</v>
      </c>
      <c r="P7" s="6" t="n">
        <v>90109.39614633274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288993.7002569484</v>
      </c>
      <c r="O8" s="6" t="n">
        <v>288993.7002569484</v>
      </c>
      <c r="P8" s="6" t="n">
        <v>126101.3054441722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264056.4265121482</v>
      </c>
      <c r="O9" s="6" t="n">
        <v>264056.4265121482</v>
      </c>
      <c r="P9" s="6" t="n">
        <v>-254673.7080647675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264049.702122492</v>
      </c>
      <c r="O10" s="6" t="n">
        <v>264049.702122492</v>
      </c>
      <c r="P10" s="6" t="n">
        <v>-192590.2554744919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267782.9450753636</v>
      </c>
      <c r="O11" s="6" t="n">
        <v>241982.4075116948</v>
      </c>
      <c r="P11" s="6" t="n">
        <v>55611.96372950323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198848.4398392941</v>
      </c>
      <c r="O12" s="6" t="n">
        <v>179689.6519631402</v>
      </c>
      <c r="P12" s="6" t="n">
        <v>41295.95415756934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143457.0771225184</v>
      </c>
      <c r="O13" s="6" t="n">
        <v>143457.0771225184</v>
      </c>
      <c r="P13" s="6" t="n">
        <v>28945.996465009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122554.2226197703</v>
      </c>
      <c r="O14" s="6" t="n">
        <v>122554.2226197703</v>
      </c>
      <c r="P14" s="6" t="n">
        <v>-122554.2226197703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42215.74933357976</v>
      </c>
      <c r="O16" s="6" t="n">
        <v>42215.74933357976</v>
      </c>
      <c r="P16" s="6" t="n">
        <v>-42215.74933357976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26704.91852567672</v>
      </c>
      <c r="O17" s="6" t="n">
        <v>26704.91852567672</v>
      </c>
      <c r="P17" s="6" t="n">
        <v>16835.99380160285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26404.29315598599</v>
      </c>
      <c r="O18" s="6" t="n">
        <v>26404.29315598599</v>
      </c>
      <c r="P18" s="6" t="n">
        <v>-7093.882013985991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13200.75542624058</v>
      </c>
      <c r="O19" s="6" t="n">
        <v>13200.75542624058</v>
      </c>
      <c r="P19" s="6" t="n">
        <v>-13200.75542624055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13180.10371568246</v>
      </c>
      <c r="O20" s="6" t="n">
        <v>13180.10371568246</v>
      </c>
      <c r="P20" s="6" t="n">
        <v>-13180.10371567924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13158.7169669642</v>
      </c>
      <c r="O21" s="6" t="n">
        <v>13158.7169669642</v>
      </c>
      <c r="P21" s="6" t="n">
        <v>-13158.71696696287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13138.68374922045</v>
      </c>
      <c r="O22" s="6" t="n">
        <v>13138.68374922045</v>
      </c>
      <c r="P22" s="6" t="n">
        <v>-13138.68374923708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4536.060843455039</v>
      </c>
      <c r="O24" s="6" t="n">
        <v>4536.060843455039</v>
      </c>
      <c r="P24" s="6" t="n">
        <v>313.4365129582695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2578.10267470959</v>
      </c>
      <c r="O25" s="6" t="n">
        <v>2329.705843899025</v>
      </c>
      <c r="P25" s="6" t="n">
        <v>535.4088267142429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6.814170017716019</v>
      </c>
      <c r="O26" s="6" t="n">
        <v>6.814170017716019</v>
      </c>
      <c r="P26" s="6" t="n">
        <v>-3.33417001771089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1.209539548036008</v>
      </c>
      <c r="O27" s="6" t="n">
        <v>1.209539548036008</v>
      </c>
      <c r="P27" s="6" t="n">
        <v>0.08500525357332127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0.9120872143731815</v>
      </c>
      <c r="O28" s="6" t="n">
        <v>0.9120872143731815</v>
      </c>
      <c r="P28" s="6" t="n">
        <v>0.04134929538547594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0.7496466078419327</v>
      </c>
      <c r="O29" s="6" t="n">
        <v>0.7496466078419327</v>
      </c>
      <c r="P29" s="6" t="n">
        <v>-0.7496466078419327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0.5828901287741283</v>
      </c>
      <c r="O30" s="6" t="n">
        <v>0.5828901287741283</v>
      </c>
      <c r="P30" s="6" t="n">
        <v>-0.5828901307779283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0.2611016613043888</v>
      </c>
      <c r="O31" s="6" t="n">
        <v>0.2611016613043888</v>
      </c>
      <c r="P31" s="6" t="n">
        <v>0.02749611597303243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0.1299070445768462</v>
      </c>
      <c r="O32" s="6" t="n">
        <v>0.1299070445768462</v>
      </c>
      <c r="P32" s="6" t="n">
        <v>-0.1299071004072535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0.05784559208426222</v>
      </c>
      <c r="O33" s="6" t="n">
        <v>0.05784559208426222</v>
      </c>
      <c r="P33" s="6" t="n">
        <v>-0.0578395398778121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0.003196641352588766</v>
      </c>
      <c r="O34" s="6" t="n">
        <v>0.003196641352588766</v>
      </c>
      <c r="P34" s="6" t="n">
        <v>133499.9976083587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0.0001517342742850272</v>
      </c>
      <c r="O35" s="6" t="n">
        <v>0.0001517342742850272</v>
      </c>
      <c r="P35" s="6" t="n">
        <v>-5.473427428502721e-05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1.668567389810986e-05</v>
      </c>
      <c r="O36" s="6" t="n">
        <v>1.668567389810986e-05</v>
      </c>
      <c r="P36" s="6" t="n">
        <v>-8.685673898109861e-06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1.515863068762813e-05</v>
      </c>
      <c r="O37" s="6" t="n">
        <v>1.515863068762813e-05</v>
      </c>
      <c r="P37" s="6" t="n">
        <v>-1.467834696858513e-05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4.467820895015332e-06</v>
      </c>
      <c r="O38" s="6" t="n">
        <v>4.467820895015332e-06</v>
      </c>
      <c r="P38" s="6" t="n">
        <v>-4.678208950153324e-07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3.274671555405573e-06</v>
      </c>
      <c r="O39" s="6" t="n">
        <v>3.274671555405573e-06</v>
      </c>
      <c r="P39" s="6" t="n">
        <v>-3.274671555405573e-06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1.371096412738963e-06</v>
      </c>
      <c r="O40" s="6" t="n">
        <v>1.371096412738963e-06</v>
      </c>
      <c r="P40" s="6" t="n">
        <v>-4.583151196639627e-07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1.97767817030164e-07</v>
      </c>
      <c r="O41" s="6" t="n">
        <v>1.97767817030164e-07</v>
      </c>
      <c r="P41" s="6" t="n">
        <v>-1.97767817030164e-07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2431714480.2962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1431714480.2962</v>
      </c>
    </row>
    <row r="8">
      <c r="A8" t="inlineStr">
        <is>
          <t>Base rate (BR = SSR + 30bps), period avg</t>
        </is>
      </c>
      <c r="B8" s="7" t="n">
        <v>0.04124672584310142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0.03941483592081255</v>
      </c>
    </row>
    <row r="12">
      <c r="A12" s="8" t="inlineStr">
        <is>
          <t>Diff vs base rate (bps)</t>
        </is>
      </c>
      <c r="B12" s="11" t="n">
        <v>-18.31889922288867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8348004.6733626</v>
      </c>
    </row>
    <row r="16">
      <c r="A16" t="inlineStr">
        <is>
          <t xml:space="preserve">  − actual CoF (subsidy on first tranche)</t>
        </is>
      </c>
      <c r="B16" s="3" t="n">
        <v>7983886.536057075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1431714480.2962</v>
      </c>
      <c r="C21" s="3" t="n">
        <v>4913984.332756353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7803415.915572274</v>
      </c>
    </row>
    <row r="25">
      <c r="A25" t="inlineStr">
        <is>
          <t>+ Sky-Direct revenue (full venue yield on fixed/capped SDE)</t>
        </is>
      </c>
      <c r="B25" s="3" t="n">
        <v>5964.764912320331</v>
      </c>
    </row>
    <row r="26">
      <c r="A26" t="inlineStr">
        <is>
          <t>equals sky_revenue (total Sky take this month)</t>
        </is>
      </c>
      <c r="B26" s="3" t="n">
        <v>7809380.680484595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7803415.915572274</v>
      </c>
    </row>
    <row r="32">
      <c r="A32" t="inlineStr">
        <is>
          <t xml:space="preserve">    ↳ reduction from idle/SDE deductions</t>
        </is>
      </c>
      <c r="B32" s="3" t="n">
        <v>-2508085.181846506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279700.6628648615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282901.5516941324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281391.0522915734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255145.8930004883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247387.0817468918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243124.5577097146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243372.1772997648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242543.6295071621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236628.1463111601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236902.7791231647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237949.9513003584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236029.130420614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237513.4251829637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238525.4815213931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239302.7054770241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240445.7079488969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240567.2839532584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250574.5348266227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249314.579142799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246705.3458874128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264391.1266726874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272587.0563700715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272360.2523444934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269953.2297739198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268372.1752519968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269774.5641758866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269163.1387336787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267398.9661779453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283589.0385526734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285028.4247008928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295242.8860925731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7983886.536057075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2026-06-26T00:53:10Z</dcterms:created>
  <dcterms:modified xmlns:dcterms="http://purl.org/dc/terms/" xmlns:xsi="http://www.w3.org/2001/XMLSchema-instance" xsi:type="dcterms:W3CDTF">2026-06-26T00:53:10Z</dcterms:modified>
</cp:coreProperties>
</file>