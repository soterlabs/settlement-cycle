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10558759.94985224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>
        <is>
          <t>+ distribution_rewards (settle-dr-dune)</t>
        </is>
      </c>
      <c r="B6" s="3" t="n">
        <v>1506065.38</v>
      </c>
    </row>
    <row r="7">
      <c r="A7" t="inlineStr"/>
      <c r="B7" s="4" t="n">
        <v>12180216.63759718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9251643.968801251</v>
      </c>
    </row>
    <row r="11">
      <c r="A11" t="inlineStr">
        <is>
          <t>+ SDE revenue (Sky-Direct, full to Sky)</t>
        </is>
      </c>
      <c r="B11" s="3" t="n">
        <v>12587.56221525919</v>
      </c>
    </row>
    <row r="12">
      <c r="A12" t="inlineStr"/>
      <c r="B12" s="4" t="n">
        <v>9264231.53101651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9251643.968801251</v>
      </c>
    </row>
    <row r="16">
      <c r="A16" t="inlineStr">
        <is>
          <t>reduction from idle/SDE deductions</t>
        </is>
      </c>
      <c r="B16" s="3" t="n">
        <v>-2448851.682713232</v>
      </c>
    </row>
    <row r="17">
      <c r="A17" t="inlineStr"/>
      <c r="B17" s="4" t="n">
        <v>11700495.65151448</v>
      </c>
    </row>
    <row r="19">
      <c r="A19" s="5" t="inlineStr">
        <is>
          <t>sUSDS spread (Curve LP + PSM3) — deducted from sky_revenue</t>
        </is>
      </c>
      <c r="B19" s="3" t="n">
        <v>178920.973062644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10558759.94985224</v>
      </c>
    </row>
    <row r="23">
      <c r="A23" t="inlineStr">
        <is>
          <t>− CoF (deducted per-venue in display)</t>
        </is>
      </c>
      <c r="B23" s="3" t="n">
        <v>-9251643.968801251</v>
      </c>
    </row>
    <row r="24">
      <c r="A24" t="inlineStr"/>
      <c r="B24" s="4" t="n">
        <v>14288.01418348054</v>
      </c>
    </row>
    <row r="26">
      <c r="A26" t="inlineStr">
        <is>
          <t>Period</t>
        </is>
      </c>
      <c r="B26" t="inlineStr">
        <is>
          <t>2026-04-01 → 2026-04-30 (30 days)</t>
        </is>
      </c>
    </row>
    <row r="27">
      <c r="A27" t="inlineStr">
        <is>
          <t>Pin blocks</t>
        </is>
      </c>
      <c r="B27" t="inlineStr">
        <is>
          <t>arbitrum=458085623, avalanche_c=84298393, base=45402126, ethereum=24996367, optimism=150997411, unichain=46845240</t>
        </is>
      </c>
    </row>
    <row r="28">
      <c r="A28" t="inlineStr">
        <is>
          <t>Generated</t>
        </is>
      </c>
      <c r="B28" t="inlineStr">
        <is>
          <t>2026-07-13T18:32:08+00:00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2780948.049307554</v>
      </c>
      <c r="I2" s="6" t="n">
        <v>0</v>
      </c>
      <c r="J2" s="6" t="n">
        <v>2780948.049307554</v>
      </c>
      <c r="K2" s="6" t="n">
        <v>0</v>
      </c>
      <c r="L2" s="6" t="n">
        <v>1363240251.248581</v>
      </c>
      <c r="M2" s="7" t="n">
        <v>1</v>
      </c>
      <c r="N2" s="6" t="n">
        <v>3576251.285220429</v>
      </c>
      <c r="O2" s="6" t="n">
        <v>3576251.285220429</v>
      </c>
      <c r="P2" s="6" t="n">
        <v>-795303.2359128748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1733383.402130962</v>
      </c>
      <c r="O3" s="6" t="n">
        <v>1733383.402130962</v>
      </c>
      <c r="P3" s="6" t="n">
        <v>1442991.597869027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282411706.537503</v>
      </c>
      <c r="F4" s="6" t="n">
        <v>677669071.17383</v>
      </c>
      <c r="G4" s="6" t="n">
        <v>395257364.636327</v>
      </c>
      <c r="H4" s="6" t="n">
        <v>577512.1374370001</v>
      </c>
      <c r="I4" s="6" t="n">
        <v>0</v>
      </c>
      <c r="J4" s="6" t="n">
        <v>577512.1374370001</v>
      </c>
      <c r="K4" s="6" t="n">
        <v>0</v>
      </c>
      <c r="L4" s="6" t="n">
        <v>295567701.6207994</v>
      </c>
      <c r="M4" s="7" t="n">
        <v>1</v>
      </c>
      <c r="N4" s="6" t="n">
        <v>775376.4399363294</v>
      </c>
      <c r="O4" s="6" t="n">
        <v>775376.4399363294</v>
      </c>
      <c r="P4" s="6" t="n">
        <v>-197864.3024993294</v>
      </c>
      <c r="Q4" s="6" t="n">
        <v>0</v>
      </c>
      <c r="R4" s="6" t="n">
        <v>0</v>
      </c>
      <c r="S4" t="inlineStr"/>
    </row>
    <row r="5">
      <c r="A5" t="inlineStr">
        <is>
          <t>S9</t>
        </is>
      </c>
      <c r="B5" t="inlineStr">
        <is>
          <t>Aave Ethereum USDT (aToken)</t>
        </is>
      </c>
      <c r="C5" t="inlineStr">
        <is>
          <t>ethereum</t>
        </is>
      </c>
      <c r="D5" t="inlineStr">
        <is>
          <t>C</t>
        </is>
      </c>
      <c r="E5" s="6" t="n">
        <v>495610843.871423</v>
      </c>
      <c r="F5" s="6" t="n">
        <v>5.897868</v>
      </c>
      <c r="G5" s="6" t="n">
        <v>-495610837.973555</v>
      </c>
      <c r="H5" s="6" t="n">
        <v>467640.351562</v>
      </c>
      <c r="I5" s="6" t="n">
        <v>0</v>
      </c>
      <c r="J5" s="6" t="n">
        <v>467640.351562</v>
      </c>
      <c r="K5" s="6" t="n">
        <v>0</v>
      </c>
      <c r="L5" s="6" t="n">
        <v>256422375.9369288</v>
      </c>
      <c r="M5" s="7" t="n">
        <v>1</v>
      </c>
      <c r="N5" s="6" t="n">
        <v>672684.6941790461</v>
      </c>
      <c r="O5" s="6" t="n">
        <v>672684.6941790461</v>
      </c>
      <c r="P5" s="6" t="n">
        <v>-205044.3426170461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459318.2804458017</v>
      </c>
      <c r="O6" s="6" t="n">
        <v>459318.2804458017</v>
      </c>
      <c r="P6" s="6" t="n">
        <v>93793.75948653622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142898719.7175219</v>
      </c>
      <c r="F7" s="6" t="n">
        <v>143328568.5311704</v>
      </c>
      <c r="G7" s="6" t="n">
        <v>429848.8136485304</v>
      </c>
      <c r="H7" s="6" t="n">
        <v>429848.8136485304</v>
      </c>
      <c r="I7" s="6" t="n">
        <v>0</v>
      </c>
      <c r="J7" s="6" t="n">
        <v>429848.8136485304</v>
      </c>
      <c r="K7" s="6" t="n">
        <v>0</v>
      </c>
      <c r="L7" s="6" t="n">
        <v>142898719.7175219</v>
      </c>
      <c r="M7" s="7" t="n">
        <v>1</v>
      </c>
      <c r="N7" s="6" t="n">
        <v>374872.8293329679</v>
      </c>
      <c r="O7" s="6" t="n">
        <v>339690.1316934343</v>
      </c>
      <c r="P7" s="6" t="n">
        <v>54975.98431556249</v>
      </c>
      <c r="Q7" s="6" t="n">
        <v>0</v>
      </c>
      <c r="R7" s="6" t="n">
        <v>35182.6976395336</v>
      </c>
      <c r="S7" t="inlineStr"/>
    </row>
    <row r="8">
      <c r="A8" t="inlineStr">
        <is>
          <t>S1</t>
        </is>
      </c>
      <c r="B8" t="inlineStr">
        <is>
          <t>Spark USDS (SparkLend spToken)</t>
        </is>
      </c>
      <c r="C8" t="inlineStr">
        <is>
          <t>ethereum</t>
        </is>
      </c>
      <c r="D8" t="inlineStr">
        <is>
          <t>C</t>
        </is>
      </c>
      <c r="E8" s="6" t="n">
        <v>150752807.5253913</v>
      </c>
      <c r="F8" s="6" t="n">
        <v>147862782.1336161</v>
      </c>
      <c r="G8" s="6" t="n">
        <v>-2890025.391775267</v>
      </c>
      <c r="H8" s="6" t="n">
        <v>314211.7987669295</v>
      </c>
      <c r="I8" s="6" t="n">
        <v>0</v>
      </c>
      <c r="J8" s="6" t="n">
        <v>314211.7987669295</v>
      </c>
      <c r="K8" s="6" t="n">
        <v>0</v>
      </c>
      <c r="L8" s="6" t="n">
        <v>101885166.4356003</v>
      </c>
      <c r="M8" s="7" t="n">
        <v>1</v>
      </c>
      <c r="N8" s="6" t="n">
        <v>267280.0755967204</v>
      </c>
      <c r="O8" s="6" t="n">
        <v>267280.0755967204</v>
      </c>
      <c r="P8" s="6" t="n">
        <v>46931.7231702091</v>
      </c>
      <c r="Q8" s="6" t="n">
        <v>48760833.18343966</v>
      </c>
      <c r="R8" s="6" t="n">
        <v>0</v>
      </c>
      <c r="S8" t="inlineStr">
        <is>
          <t>(avg excl. lending_idle)</t>
        </is>
      </c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100000454.4463709</v>
      </c>
      <c r="F9" s="6" t="n">
        <v>99998676.75316638</v>
      </c>
      <c r="G9" s="6" t="n">
        <v>-1777.693204525303</v>
      </c>
      <c r="H9" s="6" t="n">
        <v>9569.011445211523</v>
      </c>
      <c r="I9" s="6" t="n">
        <v>0</v>
      </c>
      <c r="J9" s="6" t="n">
        <v>9569.011445211523</v>
      </c>
      <c r="K9" s="6" t="n">
        <v>0</v>
      </c>
      <c r="L9" s="6" t="n">
        <v>100000076.2228826</v>
      </c>
      <c r="M9" s="7" t="n">
        <v>1</v>
      </c>
      <c r="N9" s="6" t="n">
        <v>262334.8311397631</v>
      </c>
      <c r="O9" s="6" t="n">
        <v>262334.8311397631</v>
      </c>
      <c r="P9" s="6" t="n">
        <v>-252765.8196945516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100000230.666889</v>
      </c>
      <c r="F10" s="6" t="n">
        <v>100001095.915921</v>
      </c>
      <c r="G10" s="6" t="n">
        <v>865.2490320000001</v>
      </c>
      <c r="H10" s="6" t="n">
        <v>46285.475044</v>
      </c>
      <c r="I10" s="6" t="n">
        <v>0</v>
      </c>
      <c r="J10" s="6" t="n">
        <v>46285.475044</v>
      </c>
      <c r="K10" s="6" t="n">
        <v>0</v>
      </c>
      <c r="L10" s="6" t="n">
        <v>99998716.65935527</v>
      </c>
      <c r="M10" s="7" t="n">
        <v>1</v>
      </c>
      <c r="N10" s="6" t="n">
        <v>262331.264533798</v>
      </c>
      <c r="O10" s="6" t="n">
        <v>262331.264533798</v>
      </c>
      <c r="P10" s="6" t="n">
        <v>-216045.7894897981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101734967.5107904</v>
      </c>
      <c r="F11" s="6" t="n">
        <v>102040993.0313656</v>
      </c>
      <c r="G11" s="6" t="n">
        <v>306025.5205752055</v>
      </c>
      <c r="H11" s="6" t="n">
        <v>306025.5205752055</v>
      </c>
      <c r="I11" s="6" t="n">
        <v>0</v>
      </c>
      <c r="J11" s="6" t="n">
        <v>306025.5205752055</v>
      </c>
      <c r="K11" s="6" t="n">
        <v>0</v>
      </c>
      <c r="L11" s="6" t="n">
        <v>101734967.5107904</v>
      </c>
      <c r="M11" s="7" t="n">
        <v>1</v>
      </c>
      <c r="N11" s="6" t="n">
        <v>266886.0518012829</v>
      </c>
      <c r="O11" s="6" t="n">
        <v>241838.1674789083</v>
      </c>
      <c r="P11" s="6" t="n">
        <v>39139.46877392263</v>
      </c>
      <c r="Q11" s="6" t="n">
        <v>0</v>
      </c>
      <c r="R11" s="6" t="n">
        <v>25047.88432237454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75545660.91178264</v>
      </c>
      <c r="F12" s="6" t="n">
        <v>75772907.26348835</v>
      </c>
      <c r="G12" s="6" t="n">
        <v>227246.3517057119</v>
      </c>
      <c r="H12" s="6" t="n">
        <v>227246.3517057119</v>
      </c>
      <c r="I12" s="6" t="n">
        <v>0</v>
      </c>
      <c r="J12" s="6" t="n">
        <v>227246.3517057119</v>
      </c>
      <c r="K12" s="6" t="n">
        <v>0</v>
      </c>
      <c r="L12" s="6" t="n">
        <v>75545660.91178264</v>
      </c>
      <c r="M12" s="7" t="n">
        <v>1</v>
      </c>
      <c r="N12" s="6" t="n">
        <v>198182.4309259814</v>
      </c>
      <c r="O12" s="6" t="n">
        <v>179582.5431796668</v>
      </c>
      <c r="P12" s="6" t="n">
        <v>29063.92077973047</v>
      </c>
      <c r="Q12" s="6" t="n">
        <v>0</v>
      </c>
      <c r="R12" s="6" t="n">
        <v>18599.8877463146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100001961.5815342</v>
      </c>
      <c r="F13" s="6" t="n">
        <v>76904851.98939763</v>
      </c>
      <c r="G13" s="6" t="n">
        <v>-23097109.59213662</v>
      </c>
      <c r="H13" s="6" t="n">
        <v>204786.964979558</v>
      </c>
      <c r="I13" s="6" t="n">
        <v>0</v>
      </c>
      <c r="J13" s="6" t="n">
        <v>204786.964979558</v>
      </c>
      <c r="K13" s="6" t="n">
        <v>0</v>
      </c>
      <c r="L13" s="6" t="n">
        <v>63785944.13982024</v>
      </c>
      <c r="M13" s="7" t="n">
        <v>1</v>
      </c>
      <c r="N13" s="6" t="n">
        <v>167332.6213043536</v>
      </c>
      <c r="O13" s="6" t="n">
        <v>167332.6213043536</v>
      </c>
      <c r="P13" s="6" t="n">
        <v>37454.34367520444</v>
      </c>
      <c r="Q13" s="6" t="n">
        <v>0</v>
      </c>
      <c r="R13" s="6" t="n">
        <v>0</v>
      </c>
      <c r="S13" t="inlineStr"/>
    </row>
    <row r="14">
      <c r="A14" t="inlineStr">
        <is>
          <t>S11</t>
        </is>
      </c>
      <c r="B14" t="inlineStr">
        <is>
          <t>Spark Blue Chip USDT Vault (Morpho V2)</t>
        </is>
      </c>
      <c r="C14" t="inlineStr">
        <is>
          <t>ethereum</t>
        </is>
      </c>
      <c r="D14" t="inlineStr">
        <is>
          <t>B</t>
        </is>
      </c>
      <c r="E14" s="6" t="n">
        <v>40001.50457793332</v>
      </c>
      <c r="F14" s="6" t="n">
        <v>51710579.95350124</v>
      </c>
      <c r="G14" s="6" t="n">
        <v>51670578.4489233</v>
      </c>
      <c r="H14" s="6" t="n">
        <v>168816.6386304617</v>
      </c>
      <c r="I14" s="6" t="n">
        <v>0</v>
      </c>
      <c r="J14" s="6" t="n">
        <v>168816.6386304617</v>
      </c>
      <c r="K14" s="6" t="n">
        <v>0</v>
      </c>
      <c r="L14" s="6" t="n">
        <v>57072716.55221562</v>
      </c>
      <c r="M14" s="7" t="n">
        <v>1</v>
      </c>
      <c r="N14" s="6" t="n">
        <v>149721.500472087</v>
      </c>
      <c r="O14" s="6" t="n">
        <v>149721.500472087</v>
      </c>
      <c r="P14" s="6" t="n">
        <v>19095.1381583747</v>
      </c>
      <c r="Q14" s="6" t="n">
        <v>0</v>
      </c>
      <c r="R14" s="6" t="n">
        <v>0</v>
      </c>
      <c r="S14" t="inlineStr"/>
    </row>
    <row r="15">
      <c r="A15" t="inlineStr">
        <is>
          <t>S14</t>
        </is>
      </c>
      <c r="B15" t="inlineStr">
        <is>
          <t>Maple syrupUSDC (ERC-4626)</t>
        </is>
      </c>
      <c r="C15" t="inlineStr">
        <is>
          <t>ethereum</t>
        </is>
      </c>
      <c r="D15" t="inlineStr">
        <is>
          <t>B</t>
        </is>
      </c>
      <c r="E15" s="6" t="n">
        <v>100002159.2601167</v>
      </c>
      <c r="F15" s="6" t="n">
        <v>105306162.1077363</v>
      </c>
      <c r="G15" s="6" t="n">
        <v>5304002.847619672</v>
      </c>
      <c r="H15" s="6" t="n">
        <v>172735.4277329785</v>
      </c>
      <c r="I15" s="6" t="n">
        <v>0</v>
      </c>
      <c r="J15" s="6" t="n">
        <v>172735.4277329785</v>
      </c>
      <c r="K15" s="6" t="n">
        <v>0</v>
      </c>
      <c r="L15" s="6" t="n">
        <v>50410608.77727573</v>
      </c>
      <c r="M15" s="7" t="n">
        <v>1</v>
      </c>
      <c r="N15" s="6" t="n">
        <v>132244.4846118347</v>
      </c>
      <c r="O15" s="6" t="n">
        <v>132244.4846118347</v>
      </c>
      <c r="P15" s="6" t="n">
        <v>40490.94312114381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-99849.35275556908</v>
      </c>
      <c r="P16" s="6" t="n">
        <v>0</v>
      </c>
      <c r="Q16" s="6" t="n">
        <v>0</v>
      </c>
      <c r="R16" s="6" t="n">
        <v>99849.35275556908</v>
      </c>
      <c r="S16" t="inlineStr">
        <is>
          <t>sky-revenue reduction (no CoF; computed outside venue loop)</t>
        </is>
      </c>
    </row>
    <row r="17">
      <c r="A17" t="inlineStr">
        <is>
          <t>S27</t>
        </is>
      </c>
      <c r="B17" t="inlineStr">
        <is>
          <t>USDT raw (ALM idle — $442M as of 2026-04)</t>
        </is>
      </c>
      <c r="C17" t="inlineStr">
        <is>
          <t>ethereum</t>
        </is>
      </c>
      <c r="D17" t="inlineStr">
        <is>
          <t>A</t>
        </is>
      </c>
      <c r="E17" s="6" t="n">
        <v>0</v>
      </c>
      <c r="F17" s="6" t="n">
        <v>483436565.922284</v>
      </c>
      <c r="G17" s="6" t="n">
        <v>483436565.922284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16114552.19740947</v>
      </c>
      <c r="M17" s="7" t="n">
        <v>1</v>
      </c>
      <c r="N17" s="6" t="n">
        <v>42274.0510735028</v>
      </c>
      <c r="O17" s="6" t="n">
        <v>42274.0510735028</v>
      </c>
      <c r="P17" s="6" t="n">
        <v>-42274.0510735028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10156910.09323084</v>
      </c>
      <c r="F18" s="6" t="n">
        <v>0.28330096818</v>
      </c>
      <c r="G18" s="6" t="n">
        <v>-10156909.80992987</v>
      </c>
      <c r="H18" s="6" t="n">
        <v>18286.18338612959</v>
      </c>
      <c r="I18" s="6" t="n">
        <v>0</v>
      </c>
      <c r="J18" s="6" t="n">
        <v>18286.18338612959</v>
      </c>
      <c r="K18" s="6" t="n">
        <v>0</v>
      </c>
      <c r="L18" s="6" t="n">
        <v>7104351.295236039</v>
      </c>
      <c r="M18" s="7" t="n">
        <v>1</v>
      </c>
      <c r="N18" s="6" t="n">
        <v>18637.17376814196</v>
      </c>
      <c r="O18" s="6" t="n">
        <v>18637.17376814196</v>
      </c>
      <c r="P18" s="6" t="n">
        <v>-350.9903820123725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13116.73155903726</v>
      </c>
      <c r="O19" s="6" t="n">
        <v>13116.73155903726</v>
      </c>
      <c r="P19" s="6" t="n">
        <v>-13116.73155903726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4997775.722557</v>
      </c>
      <c r="F20" s="6" t="n">
        <v>5000000</v>
      </c>
      <c r="G20" s="6" t="n">
        <v>2224.277443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4997849.865138433</v>
      </c>
      <c r="M20" s="7" t="n">
        <v>1</v>
      </c>
      <c r="N20" s="6" t="n">
        <v>13111.09101067828</v>
      </c>
      <c r="O20" s="6" t="n">
        <v>13111.09101067828</v>
      </c>
      <c r="P20" s="6" t="n">
        <v>-13111.09101067828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4987427.101210834</v>
      </c>
      <c r="M21" s="7" t="n">
        <v>1</v>
      </c>
      <c r="N21" s="6" t="n">
        <v>13083.74849136997</v>
      </c>
      <c r="O21" s="6" t="n">
        <v>13083.74849136997</v>
      </c>
      <c r="P21" s="6" t="n">
        <v>-13083.74849136997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50000879.85586481</v>
      </c>
      <c r="F22" s="6" t="n">
        <v>50002415.26289953</v>
      </c>
      <c r="G22" s="6" t="n">
        <v>1535.4070347212</v>
      </c>
      <c r="H22" s="6" t="n">
        <v>12598.4555305973</v>
      </c>
      <c r="I22" s="6" t="n">
        <v>103204.2172004009</v>
      </c>
      <c r="J22" s="6" t="n">
        <v>103204.2172004009</v>
      </c>
      <c r="K22" s="6" t="n">
        <v>12598.4555305973</v>
      </c>
      <c r="L22" s="6" t="n">
        <v>49997070.94700827</v>
      </c>
      <c r="M22" s="7" t="n">
        <v>0</v>
      </c>
      <c r="N22" s="6" t="n">
        <v>0</v>
      </c>
      <c r="O22" s="6" t="n">
        <v>12598.4555305973</v>
      </c>
      <c r="P22" s="6" t="n">
        <v>103204.2172004009</v>
      </c>
      <c r="Q22" s="6" t="n">
        <v>49997070.94700827</v>
      </c>
      <c r="R22" s="6" t="n">
        <v>0</v>
      </c>
      <c r="S22" t="inlineStr">
        <is>
          <t>SDE (fixed)</t>
        </is>
      </c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4461648.5934257</v>
      </c>
      <c r="M23" s="7" t="n">
        <v>1</v>
      </c>
      <c r="N23" s="6" t="n">
        <v>11704.44938214422</v>
      </c>
      <c r="O23" s="6" t="n">
        <v>11704.44938214422</v>
      </c>
      <c r="P23" s="6" t="n">
        <v>-11704.44938214422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977119.890305955</v>
      </c>
      <c r="F24" s="6" t="n">
        <v>704090.8045421393</v>
      </c>
      <c r="G24" s="6" t="n">
        <v>-273029.0857638157</v>
      </c>
      <c r="H24" s="6" t="n">
        <v>9546.424990317191</v>
      </c>
      <c r="I24" s="6" t="n">
        <v>0</v>
      </c>
      <c r="J24" s="6" t="n">
        <v>9546.424990317191</v>
      </c>
      <c r="K24" s="6" t="n">
        <v>0</v>
      </c>
      <c r="L24" s="6" t="n">
        <v>2903718.839188297</v>
      </c>
      <c r="M24" s="7" t="n">
        <v>1</v>
      </c>
      <c r="N24" s="6" t="n">
        <v>7617.460107310435</v>
      </c>
      <c r="O24" s="6" t="n">
        <v>7617.460107310435</v>
      </c>
      <c r="P24" s="6" t="n">
        <v>1928.964883006757</v>
      </c>
      <c r="Q24" s="6" t="n">
        <v>0</v>
      </c>
      <c r="R24" s="6" t="n">
        <v>0</v>
      </c>
      <c r="S24" t="inlineStr"/>
    </row>
    <row r="25">
      <c r="A25" t="inlineStr">
        <is>
          <t>S54</t>
        </is>
      </c>
      <c r="B25" t="inlineStr">
        <is>
          <t>Aave Avalanche USDC (aAvaUSDC)</t>
        </is>
      </c>
      <c r="C25" t="inlineStr">
        <is>
          <t>avalanche_c</t>
        </is>
      </c>
      <c r="D25" t="inlineStr">
        <is>
          <t>C</t>
        </is>
      </c>
      <c r="E25" s="6" t="n">
        <v>10000122.636328</v>
      </c>
      <c r="F25" s="6" t="n">
        <v>0.154431</v>
      </c>
      <c r="G25" s="6" t="n">
        <v>-10000122.481897</v>
      </c>
      <c r="H25" s="6" t="n">
        <v>4618.656125</v>
      </c>
      <c r="I25" s="6" t="n">
        <v>0</v>
      </c>
      <c r="J25" s="6" t="n">
        <v>4618.656125</v>
      </c>
      <c r="K25" s="6" t="n">
        <v>0</v>
      </c>
      <c r="L25" s="6" t="n">
        <v>2328579.222917333</v>
      </c>
      <c r="M25" s="7" t="n">
        <v>1</v>
      </c>
      <c r="N25" s="6" t="n">
        <v>6108.669716191649</v>
      </c>
      <c r="O25" s="6" t="n">
        <v>6108.669716191649</v>
      </c>
      <c r="P25" s="6" t="n">
        <v>-1490.013591191649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4497.433544839263</v>
      </c>
      <c r="I26" s="6" t="n">
        <v>0</v>
      </c>
      <c r="J26" s="6" t="n">
        <v>4497.433544839263</v>
      </c>
      <c r="K26" s="6" t="n">
        <v>0</v>
      </c>
      <c r="L26" s="6" t="n">
        <v>1097625.680429272</v>
      </c>
      <c r="M26" s="7" t="n">
        <v>1</v>
      </c>
      <c r="N26" s="6" t="n">
        <v>2879.452280499276</v>
      </c>
      <c r="O26" s="6" t="n">
        <v>2879.452280499276</v>
      </c>
      <c r="P26" s="6" t="n">
        <v>1617.981264339988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2569.467759785543</v>
      </c>
      <c r="O27" s="6" t="n">
        <v>2328.317160933341</v>
      </c>
      <c r="P27" s="6" t="n">
        <v>376.8185053919846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901.4778648719804</v>
      </c>
      <c r="O28" s="6" t="n">
        <v>901.4778648719804</v>
      </c>
      <c r="P28" s="6" t="n">
        <v>-776.0990288719804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350.2199105453936</v>
      </c>
      <c r="O29" s="6" t="n">
        <v>350.2199105453936</v>
      </c>
      <c r="P29" s="6" t="n">
        <v>-133849.8857005454</v>
      </c>
      <c r="Q29" s="6" t="n">
        <v>0</v>
      </c>
      <c r="R29" s="6" t="n">
        <v>0</v>
      </c>
      <c r="S29" t="inlineStr"/>
    </row>
    <row r="30">
      <c r="A30" t="inlineStr">
        <is>
          <t>S62</t>
        </is>
      </c>
      <c r="B30" t="inlineStr">
        <is>
          <t>Spark.fi USDT Reserve Uniswap V4 (USDT/USDS)</t>
        </is>
      </c>
      <c r="C30" t="inlineStr">
        <is>
          <t>ethereum</t>
        </is>
      </c>
      <c r="D30" t="inlineStr">
        <is>
          <t>F</t>
        </is>
      </c>
      <c r="E30" s="6" t="n">
        <v>220006.9469428827</v>
      </c>
      <c r="F30" s="6" t="n">
        <v>219995.8104343477</v>
      </c>
      <c r="G30" s="6" t="n">
        <v>-11.1365085349426</v>
      </c>
      <c r="H30" s="6" t="n">
        <v>-11.1365085349426</v>
      </c>
      <c r="I30" s="6" t="n">
        <v>0</v>
      </c>
      <c r="J30" s="6" t="n">
        <v>0</v>
      </c>
      <c r="K30" s="6" t="n">
        <v>-11.1365085349426</v>
      </c>
      <c r="L30" s="6" t="n">
        <v>220006.9469428827</v>
      </c>
      <c r="M30" s="7" t="n">
        <v>0</v>
      </c>
      <c r="N30" s="6" t="n">
        <v>0</v>
      </c>
      <c r="O30" s="6" t="n">
        <v>-11.1365085349426</v>
      </c>
      <c r="P30" s="6" t="n">
        <v>0</v>
      </c>
      <c r="Q30" s="6" t="n">
        <v>220006.9469428827</v>
      </c>
      <c r="R30" s="6" t="n">
        <v>0</v>
      </c>
      <c r="S30" t="inlineStr">
        <is>
          <t>SDE (fixed)</t>
        </is>
      </c>
    </row>
    <row r="31">
      <c r="A31" t="inlineStr">
        <is>
          <t>S26</t>
        </is>
      </c>
      <c r="B31" t="inlineStr">
        <is>
          <t>USDC raw (ALM idle)</t>
        </is>
      </c>
      <c r="C31" t="inlineStr">
        <is>
          <t>ethereum</t>
        </is>
      </c>
      <c r="D31" t="inlineStr">
        <is>
          <t>A</t>
        </is>
      </c>
      <c r="E31" s="6" t="n">
        <v>0</v>
      </c>
      <c r="F31" s="6" t="n">
        <v>0</v>
      </c>
      <c r="G31" s="6" t="n">
        <v>0</v>
      </c>
      <c r="H31" s="6" t="n">
        <v>-1.4761558479e-08</v>
      </c>
      <c r="I31" s="6" t="n">
        <v>0</v>
      </c>
      <c r="J31" s="6" t="n">
        <v>-1.4761558479e-08</v>
      </c>
      <c r="K31" s="6" t="n">
        <v>0</v>
      </c>
      <c r="L31" s="6" t="n">
        <v>3222.097566510731</v>
      </c>
      <c r="M31" s="7" t="n">
        <v>1</v>
      </c>
      <c r="N31" s="6" t="n">
        <v>8.452677767389693</v>
      </c>
      <c r="O31" s="6" t="n">
        <v>8.452677767389693</v>
      </c>
      <c r="P31" s="6" t="n">
        <v>-8.45267778215125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0.9973928114582055</v>
      </c>
      <c r="O32" s="6" t="n">
        <v>0.9973928114582055</v>
      </c>
      <c r="P32" s="6" t="n">
        <v>13.13169342594843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0.7447608007141757</v>
      </c>
      <c r="O33" s="6" t="n">
        <v>0.7447608007141757</v>
      </c>
      <c r="P33" s="6" t="n">
        <v>-0.7447608007141757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0.2601570282401615</v>
      </c>
      <c r="O34" s="6" t="n">
        <v>0.2601570282401615</v>
      </c>
      <c r="P34" s="6" t="n">
        <v>0.07122301888687843</v>
      </c>
      <c r="Q34" s="6" t="n">
        <v>0</v>
      </c>
      <c r="R34" s="6" t="n">
        <v>0</v>
      </c>
      <c r="S34" t="inlineStr"/>
    </row>
    <row r="35">
      <c r="A35" t="inlineStr">
        <is>
          <t>S55</t>
        </is>
      </c>
      <c r="B35" t="inlineStr">
        <is>
          <t>USDC raw (Avalanche-C — ALM idle)</t>
        </is>
      </c>
      <c r="C35" t="inlineStr">
        <is>
          <t>avalanche_c</t>
        </is>
      </c>
      <c r="D35" t="inlineStr">
        <is>
          <t>A</t>
        </is>
      </c>
      <c r="E35" s="6" t="n">
        <v>10.263802</v>
      </c>
      <c r="F35" s="6" t="n">
        <v>2500.221225</v>
      </c>
      <c r="G35" s="6" t="n">
        <v>2489.957423</v>
      </c>
      <c r="H35" s="6" t="n">
        <v>0</v>
      </c>
      <c r="I35" s="6" t="n">
        <v>0</v>
      </c>
      <c r="J35" s="6" t="n">
        <v>0</v>
      </c>
      <c r="K35" s="6" t="n">
        <v>0</v>
      </c>
      <c r="L35" s="6" t="n">
        <v>93.26238276666666</v>
      </c>
      <c r="M35" s="7" t="n">
        <v>1</v>
      </c>
      <c r="N35" s="6" t="n">
        <v>0.2446595278613099</v>
      </c>
      <c r="O35" s="6" t="n">
        <v>0.2446595278613099</v>
      </c>
      <c r="P35" s="6" t="n">
        <v>-0.2446595278613099</v>
      </c>
      <c r="Q35" s="6" t="n">
        <v>0</v>
      </c>
      <c r="R35" s="6" t="n">
        <v>0</v>
      </c>
      <c r="S35" t="inlineStr"/>
    </row>
    <row r="36">
      <c r="A36" t="inlineStr">
        <is>
          <t>S61</t>
        </is>
      </c>
      <c r="B36" t="inlineStr">
        <is>
          <t>Spark.fi PYUSD Reserve Uniswap V4 (PYUSD/USDS)</t>
        </is>
      </c>
      <c r="C36" t="inlineStr">
        <is>
          <t>ethereum</t>
        </is>
      </c>
      <c r="D36" t="inlineStr">
        <is>
          <t>F</t>
        </is>
      </c>
      <c r="E36" s="6" t="n">
        <v>220002.4647086113</v>
      </c>
      <c r="F36" s="6" t="n">
        <v>220002.7079018081</v>
      </c>
      <c r="G36" s="6" t="n">
        <v>0.2431931968307834</v>
      </c>
      <c r="H36" s="6" t="n">
        <v>0.2431931968307834</v>
      </c>
      <c r="I36" s="6" t="n">
        <v>0</v>
      </c>
      <c r="J36" s="6" t="n">
        <v>0</v>
      </c>
      <c r="K36" s="6" t="n">
        <v>0.2431931968307834</v>
      </c>
      <c r="L36" s="6" t="n">
        <v>220002.4647086113</v>
      </c>
      <c r="M36" s="7" t="n">
        <v>0</v>
      </c>
      <c r="N36" s="6" t="n">
        <v>0</v>
      </c>
      <c r="O36" s="6" t="n">
        <v>0.2431931968307834</v>
      </c>
      <c r="P36" s="6" t="n">
        <v>0</v>
      </c>
      <c r="Q36" s="6" t="n">
        <v>220002.4647086113</v>
      </c>
      <c r="R36" s="6" t="n">
        <v>0</v>
      </c>
      <c r="S36" t="inlineStr">
        <is>
          <t>SDE (fixed)</t>
        </is>
      </c>
    </row>
    <row r="37">
      <c r="A37" t="inlineStr">
        <is>
          <t>S13</t>
        </is>
      </c>
      <c r="B37" t="inlineStr">
        <is>
          <t>Spark USDS Vault (Morpho)</t>
        </is>
      </c>
      <c r="C37" t="inlineStr">
        <is>
          <t>ethereum</t>
        </is>
      </c>
      <c r="D37" t="inlineStr">
        <is>
          <t>B</t>
        </is>
      </c>
      <c r="E37" s="6" t="n">
        <v>21.9066008120297</v>
      </c>
      <c r="F37" s="6" t="n">
        <v>21.90660666972937</v>
      </c>
      <c r="G37" s="6" t="n">
        <v>5.857699675505699e-06</v>
      </c>
      <c r="H37" s="6" t="n">
        <v>5.857699675505699e-06</v>
      </c>
      <c r="I37" s="6" t="n">
        <v>0</v>
      </c>
      <c r="J37" s="6" t="n">
        <v>5.857699675505699e-06</v>
      </c>
      <c r="K37" s="6" t="n">
        <v>0</v>
      </c>
      <c r="L37" s="6" t="n">
        <v>21.9066008120297</v>
      </c>
      <c r="M37" s="7" t="n">
        <v>1</v>
      </c>
      <c r="N37" s="6" t="n">
        <v>0.05746860044447624</v>
      </c>
      <c r="O37" s="6" t="n">
        <v>0.05746860044447624</v>
      </c>
      <c r="P37" s="6" t="n">
        <v>-0.05746274274480073</v>
      </c>
      <c r="Q37" s="6" t="n">
        <v>0</v>
      </c>
      <c r="R37" s="6" t="n">
        <v>0</v>
      </c>
      <c r="S37" t="inlineStr"/>
    </row>
    <row r="38">
      <c r="A38" t="inlineStr">
        <is>
          <t>S8</t>
        </is>
      </c>
      <c r="B38" t="inlineStr">
        <is>
          <t>Aave Ethereum USDC (aToken)</t>
        </is>
      </c>
      <c r="C38" t="inlineStr">
        <is>
          <t>ethereum</t>
        </is>
      </c>
      <c r="D38" t="inlineStr">
        <is>
          <t>C</t>
        </is>
      </c>
      <c r="E38" s="6" t="n">
        <v>0.05756</v>
      </c>
      <c r="F38" s="6" t="n">
        <v>0.057783</v>
      </c>
      <c r="G38" s="6" t="n">
        <v>0.000223</v>
      </c>
      <c r="H38" s="6" t="n">
        <v>0.000223</v>
      </c>
      <c r="I38" s="6" t="n">
        <v>0</v>
      </c>
      <c r="J38" s="6" t="n">
        <v>0.000223</v>
      </c>
      <c r="K38" s="6" t="n">
        <v>0</v>
      </c>
      <c r="L38" s="6" t="n">
        <v>0.05756</v>
      </c>
      <c r="M38" s="7" t="n">
        <v>1</v>
      </c>
      <c r="N38" s="6" t="n">
        <v>0.0001509998137076369</v>
      </c>
      <c r="O38" s="6" t="n">
        <v>0.0001509998137076369</v>
      </c>
      <c r="P38" s="6" t="n">
        <v>7.200018629236305e-05</v>
      </c>
      <c r="Q38" s="6" t="n">
        <v>0</v>
      </c>
      <c r="R38" s="6" t="n">
        <v>0</v>
      </c>
      <c r="S38" t="inlineStr"/>
    </row>
    <row r="39">
      <c r="A39" t="inlineStr">
        <is>
          <t>S41</t>
        </is>
      </c>
      <c r="B39" t="inlineStr">
        <is>
          <t>Aave Arbitrum USDCn (aArbUSDCn)</t>
        </is>
      </c>
      <c r="C39" t="inlineStr">
        <is>
          <t>arbitrum</t>
        </is>
      </c>
      <c r="D39" t="inlineStr">
        <is>
          <t>C</t>
        </is>
      </c>
      <c r="E39" s="6" t="n">
        <v>0.006327</v>
      </c>
      <c r="F39" s="6" t="n">
        <v>0.006346</v>
      </c>
      <c r="G39" s="6" t="n">
        <v>1.9e-05</v>
      </c>
      <c r="H39" s="6" t="n">
        <v>1.9e-05</v>
      </c>
      <c r="I39" s="6" t="n">
        <v>0</v>
      </c>
      <c r="J39" s="6" t="n">
        <v>1.9e-05</v>
      </c>
      <c r="K39" s="6" t="n">
        <v>0</v>
      </c>
      <c r="L39" s="6" t="n">
        <v>0.006327</v>
      </c>
      <c r="M39" s="7" t="n">
        <v>1</v>
      </c>
      <c r="N39" s="6" t="n">
        <v>1.659791211480575e-05</v>
      </c>
      <c r="O39" s="6" t="n">
        <v>1.659791211480575e-05</v>
      </c>
      <c r="P39" s="6" t="n">
        <v>2.40208788519425e-06</v>
      </c>
      <c r="Q39" s="6" t="n">
        <v>0</v>
      </c>
      <c r="R39" s="6" t="n">
        <v>0</v>
      </c>
      <c r="S39" t="inlineStr"/>
    </row>
    <row r="40">
      <c r="A40" t="inlineStr">
        <is>
          <t>S7</t>
        </is>
      </c>
      <c r="B40" t="inlineStr">
        <is>
          <t>Aave Ethereum USDS (aToken)</t>
        </is>
      </c>
      <c r="C40" t="inlineStr">
        <is>
          <t>ethereum</t>
        </is>
      </c>
      <c r="D40" t="inlineStr">
        <is>
          <t>C</t>
        </is>
      </c>
      <c r="E40" s="6" t="n">
        <v>0.005741176637971351</v>
      </c>
      <c r="F40" s="6" t="n">
        <v>0.005744283090097436</v>
      </c>
      <c r="G40" s="6" t="n">
        <v>3.106452126085e-06</v>
      </c>
      <c r="H40" s="6" t="n">
        <v>3.106452126085e-06</v>
      </c>
      <c r="I40" s="6" t="n">
        <v>0</v>
      </c>
      <c r="J40" s="6" t="n">
        <v>3.106452126085e-06</v>
      </c>
      <c r="K40" s="6" t="n">
        <v>0</v>
      </c>
      <c r="L40" s="6" t="n">
        <v>0.005741176637971351</v>
      </c>
      <c r="M40" s="7" t="n">
        <v>1</v>
      </c>
      <c r="N40" s="6" t="n">
        <v>1.506109455865725e-05</v>
      </c>
      <c r="O40" s="6" t="n">
        <v>1.506109455865725e-05</v>
      </c>
      <c r="P40" s="6" t="n">
        <v>-1.195464243257225e-05</v>
      </c>
      <c r="Q40" s="6" t="n">
        <v>0</v>
      </c>
      <c r="R40" s="6" t="n">
        <v>0</v>
      </c>
      <c r="S40" t="inlineStr"/>
    </row>
    <row r="41">
      <c r="A41" t="inlineStr">
        <is>
          <t>S35</t>
        </is>
      </c>
      <c r="B41" t="inlineStr">
        <is>
          <t>Aave Base USDC (aBasUSDC)</t>
        </is>
      </c>
      <c r="C41" t="inlineStr">
        <is>
          <t>base</t>
        </is>
      </c>
      <c r="D41" t="inlineStr">
        <is>
          <t>C</t>
        </is>
      </c>
      <c r="E41" s="6" t="n">
        <v>0.001696</v>
      </c>
      <c r="F41" s="6" t="n">
        <v>0.0017</v>
      </c>
      <c r="G41" s="6" t="n">
        <v>4e-06</v>
      </c>
      <c r="H41" s="6" t="n">
        <v>4e-06</v>
      </c>
      <c r="I41" s="6" t="n">
        <v>0</v>
      </c>
      <c r="J41" s="6" t="n">
        <v>4e-06</v>
      </c>
      <c r="K41" s="6" t="n">
        <v>0</v>
      </c>
      <c r="L41" s="6" t="n">
        <v>0.001696</v>
      </c>
      <c r="M41" s="7" t="n">
        <v>1</v>
      </c>
      <c r="N41" s="6" t="n">
        <v>4.449195344825439e-06</v>
      </c>
      <c r="O41" s="6" t="n">
        <v>4.449195344825439e-06</v>
      </c>
      <c r="P41" s="6" t="n">
        <v>-4.491953448254389e-07</v>
      </c>
      <c r="Q41" s="6" t="n">
        <v>0</v>
      </c>
      <c r="R41" s="6" t="n">
        <v>0</v>
      </c>
      <c r="S41" t="inlineStr"/>
    </row>
    <row r="42">
      <c r="A42" t="inlineStr">
        <is>
          <t>S17</t>
        </is>
      </c>
      <c r="B42" t="inlineStr">
        <is>
          <t>Fluid Savings USDS (fsUSDS)</t>
        </is>
      </c>
      <c r="C42" t="inlineStr">
        <is>
          <t>ethereum</t>
        </is>
      </c>
      <c r="D42" t="inlineStr">
        <is>
          <t>B</t>
        </is>
      </c>
      <c r="E42" s="6" t="n">
        <v>0.001240144670509943</v>
      </c>
      <c r="F42" s="6" t="n">
        <v>0.001240144670509943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0.001240144670509943</v>
      </c>
      <c r="M42" s="7" t="n">
        <v>1</v>
      </c>
      <c r="N42" s="6" t="n">
        <v>3.253328947489928e-06</v>
      </c>
      <c r="O42" s="6" t="n">
        <v>3.253328947489928e-06</v>
      </c>
      <c r="P42" s="6" t="n">
        <v>-3.253328947489928e-06</v>
      </c>
      <c r="Q42" s="6" t="n">
        <v>0</v>
      </c>
      <c r="R42" s="6" t="n">
        <v>0</v>
      </c>
      <c r="S42" t="inlineStr"/>
    </row>
    <row r="43">
      <c r="A43" t="inlineStr">
        <is>
          <t>S6</t>
        </is>
      </c>
      <c r="B43" t="inlineStr">
        <is>
          <t>Aave Ethereum Lido USDS (aToken)</t>
        </is>
      </c>
      <c r="C43" t="inlineStr">
        <is>
          <t>ethereum</t>
        </is>
      </c>
      <c r="D43" t="inlineStr">
        <is>
          <t>C</t>
        </is>
      </c>
      <c r="E43" s="6" t="n">
        <v>0.000520158110250329</v>
      </c>
      <c r="F43" s="6" t="n">
        <v>0.0005209665645060241</v>
      </c>
      <c r="G43" s="6" t="n">
        <v>8.08454255695e-07</v>
      </c>
      <c r="H43" s="6" t="n">
        <v>8.08454255695e-07</v>
      </c>
      <c r="I43" s="6" t="n">
        <v>0</v>
      </c>
      <c r="J43" s="6" t="n">
        <v>8.08454255695e-07</v>
      </c>
      <c r="K43" s="6" t="n">
        <v>0</v>
      </c>
      <c r="L43" s="6" t="n">
        <v>0.000520158110250329</v>
      </c>
      <c r="M43" s="7" t="n">
        <v>1</v>
      </c>
      <c r="N43" s="6" t="n">
        <v>1.364554860081935e-06</v>
      </c>
      <c r="O43" s="6" t="n">
        <v>1.364554860081935e-06</v>
      </c>
      <c r="P43" s="6" t="n">
        <v>-5.561006043869346e-07</v>
      </c>
      <c r="Q43" s="6" t="n">
        <v>0</v>
      </c>
      <c r="R43" s="6" t="n">
        <v>0</v>
      </c>
      <c r="S43" t="inlineStr"/>
    </row>
    <row r="44">
      <c r="A44" t="inlineStr">
        <is>
          <t>S30</t>
        </is>
      </c>
      <c r="B44" t="inlineStr">
        <is>
          <t>USDe raw (ALM idle)</t>
        </is>
      </c>
      <c r="C44" t="inlineStr">
        <is>
          <t>ethereum</t>
        </is>
      </c>
      <c r="D44" t="inlineStr">
        <is>
          <t>A</t>
        </is>
      </c>
      <c r="E44" s="6" t="n">
        <v>7.4896275897803e-05</v>
      </c>
      <c r="F44" s="6" t="n">
        <v>7.4896275897803e-05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7.4896275897803e-05</v>
      </c>
      <c r="M44" s="7" t="n">
        <v>1</v>
      </c>
      <c r="N44" s="6" t="n">
        <v>1.964788691446149e-07</v>
      </c>
      <c r="O44" s="6" t="n">
        <v>1.964788691446149e-07</v>
      </c>
      <c r="P44" s="6" t="n">
        <v>-1.964788691446149e-07</v>
      </c>
      <c r="Q44" s="6" t="n">
        <v>0</v>
      </c>
      <c r="R44" s="6" t="n">
        <v>0</v>
      </c>
      <c r="S44" t="inlineStr"/>
    </row>
    <row r="45">
      <c r="A45" t="inlineStr">
        <is>
          <t>S19</t>
        </is>
      </c>
      <c r="B45" t="inlineStr">
        <is>
          <t>BlackRock USD Institutional Digital Liquidity Fund (BUIDL-I)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S20</t>
        </is>
      </c>
      <c r="B46" t="inlineStr">
        <is>
          <t>Janus Henderson Anemoy Treasury Fund (JTRSY)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S21</t>
        </is>
      </c>
      <c r="B47" t="inlineStr">
        <is>
          <t>Superstate Short Duration US Government Securities Fund (USTB)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>
        <is>
          <t>SDE (fixed)</t>
        </is>
      </c>
    </row>
    <row r="48">
      <c r="A48" t="inlineStr">
        <is>
          <t>S22</t>
        </is>
      </c>
      <c r="B48" t="inlineStr">
        <is>
          <t>Superstate Crypto Carry Fund (USCC)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456780102.344065</v>
      </c>
      <c r="F60" s="6" t="n">
        <v>573332157.534611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867900893.337617</v>
      </c>
      <c r="F61" s="6" t="n">
        <v>1134703231.016836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504861.558051</v>
      </c>
      <c r="F62" s="6" t="n">
        <v>1066559.875133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73619968.24222299</v>
      </c>
      <c r="F63" s="6" t="n">
        <v>37138817.432463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2988366178.220075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1988366178.220075</v>
      </c>
    </row>
    <row r="8">
      <c r="A8" t="inlineStr">
        <is>
          <t>Base rate (BR = SSR + 30bps), period avg</t>
        </is>
      </c>
      <c r="B8" s="7" t="n">
        <v>0.04028621393822291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0.03688895040288687</v>
      </c>
    </row>
    <row r="11">
      <c r="A11" s="8" t="inlineStr">
        <is>
          <t>Effective blended rate charged</t>
        </is>
      </c>
      <c r="B11" s="10" t="n">
        <v>0.03914088815949029</v>
      </c>
    </row>
    <row r="12">
      <c r="A12" s="8" t="inlineStr">
        <is>
          <t>Diff vs base rate (bps)</t>
        </is>
      </c>
      <c r="B12" s="11" t="n">
        <v>-11.45325778732615</v>
      </c>
    </row>
    <row r="13">
      <c r="A13" s="8" t="inlineStr">
        <is>
          <t>Subsidy benefit to prime (USD)</t>
        </is>
      </c>
      <c r="B13" s="12" t="n">
        <v>270879.1830035028</v>
      </c>
    </row>
    <row r="15">
      <c r="A15" t="inlineStr">
        <is>
          <t>CoF at full base rate (no subsidy)</t>
        </is>
      </c>
      <c r="B15" s="3" t="n">
        <v>9701444.124867398</v>
      </c>
    </row>
    <row r="16">
      <c r="A16" t="inlineStr">
        <is>
          <t xml:space="preserve">  − actual CoF (subsidy on first tranche)</t>
        </is>
      </c>
      <c r="B16" s="3" t="n">
        <v>9430564.941863894</v>
      </c>
    </row>
    <row r="17">
      <c r="A17" s="8" t="inlineStr">
        <is>
          <t xml:space="preserve">  = subsidy benefit</t>
        </is>
      </c>
      <c r="B17" s="12" t="n">
        <v>270879.1830035028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2977531.418973944</v>
      </c>
    </row>
    <row r="21">
      <c r="A21" t="inlineStr">
        <is>
          <t>Excess (&gt; cap)</t>
        </is>
      </c>
      <c r="B21" s="6" t="n">
        <v>1988366178.220075</v>
      </c>
      <c r="C21" s="3" t="n">
        <v>6453033.52288995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9251643.968801251</v>
      </c>
    </row>
    <row r="25">
      <c r="A25" t="inlineStr">
        <is>
          <t>+ Sky-Direct revenue (full venue yield on fixed/capped SDE)</t>
        </is>
      </c>
      <c r="B25" s="3" t="n">
        <v>12587.56221525919</v>
      </c>
    </row>
    <row r="26">
      <c r="A26" t="inlineStr">
        <is>
          <t>equals sky_revenue (total Sky take this month)</t>
        </is>
      </c>
      <c r="B26" s="3" t="n">
        <v>9264231.53101651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11700495.65151448</v>
      </c>
    </row>
    <row r="31">
      <c r="A31" t="inlineStr">
        <is>
          <t xml:space="preserve">    ↳ actual CoF on Net_Subs (BR × utilized)</t>
        </is>
      </c>
      <c r="B31" s="3" t="n">
        <v>9251643.968801251</v>
      </c>
    </row>
    <row r="32">
      <c r="A32" t="inlineStr">
        <is>
          <t xml:space="preserve">    ↳ reduction from idle/SDE deductions</t>
        </is>
      </c>
      <c r="B32" s="3" t="n">
        <v>-2448851.682713232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0.2431931968307834</v>
      </c>
      <c r="J6" s="6" t="n">
        <v>0.2431931968307834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-11.1365085349426</v>
      </c>
      <c r="J7" s="6" t="n">
        <v>-11.1365085349426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84160428.00919972</v>
      </c>
      <c r="F6" s="6" t="n">
        <v>81239757.97065578</v>
      </c>
      <c r="G6" s="6" t="n">
        <v>130060790.0037368</v>
      </c>
      <c r="H6" s="6" t="n">
        <v>2783852546.659347</v>
      </c>
      <c r="I6" s="7" t="n">
        <v>0.03750000355548933</v>
      </c>
      <c r="J6" s="7" t="n">
        <v>0.04061250356615579</v>
      </c>
      <c r="K6" t="n">
        <v>3</v>
      </c>
      <c r="L6" s="7" t="n">
        <v>0.0364</v>
      </c>
      <c r="M6" s="7" t="n">
        <v>0.03692656294576947</v>
      </c>
      <c r="N6" s="3" t="n">
        <v>293920.6468481718</v>
      </c>
      <c r="O6" s="3" t="n">
        <v>374578.727875959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81298220.43761531</v>
      </c>
      <c r="F7" s="6" t="n">
        <v>76011072.11242218</v>
      </c>
      <c r="G7" s="6" t="n">
        <v>123404206.9728645</v>
      </c>
      <c r="H7" s="6" t="n">
        <v>2867217514.350302</v>
      </c>
      <c r="I7" s="7" t="n">
        <v>0.03750000355548933</v>
      </c>
      <c r="J7" s="7" t="n">
        <v>0.04061250356615579</v>
      </c>
      <c r="K7" t="n">
        <v>3</v>
      </c>
      <c r="L7" s="7" t="n">
        <v>0.0364</v>
      </c>
      <c r="M7" s="7" t="n">
        <v>0.03692656294576947</v>
      </c>
      <c r="N7" s="3" t="n">
        <v>303013.5166095516</v>
      </c>
      <c r="O7" s="3" t="n">
        <v>382071.5092839777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76350330.16833378</v>
      </c>
      <c r="F8" s="6" t="n">
        <v>75928052.36207461</v>
      </c>
      <c r="G8" s="6" t="n">
        <v>123411196.5267537</v>
      </c>
      <c r="H8" s="6" t="n">
        <v>2874855502.691253</v>
      </c>
      <c r="I8" s="7" t="n">
        <v>0.03750000355548933</v>
      </c>
      <c r="J8" s="7" t="n">
        <v>0.04061250356615579</v>
      </c>
      <c r="K8" t="n">
        <v>3</v>
      </c>
      <c r="L8" s="7" t="n">
        <v>0.0364</v>
      </c>
      <c r="M8" s="7" t="n">
        <v>0.03692656294576947</v>
      </c>
      <c r="N8" s="3" t="n">
        <v>303846.6151537827</v>
      </c>
      <c r="O8" s="3" t="n">
        <v>382353.5908336217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83779654.8388468</v>
      </c>
      <c r="F9" s="6" t="n">
        <v>75893095.51486818</v>
      </c>
      <c r="G9" s="6" t="n">
        <v>123405060.7543267</v>
      </c>
      <c r="H9" s="6" t="n">
        <v>2872189208.453927</v>
      </c>
      <c r="I9" s="7" t="n">
        <v>0.03750000355548933</v>
      </c>
      <c r="J9" s="7" t="n">
        <v>0.04061250356615579</v>
      </c>
      <c r="K9" t="n">
        <v>3</v>
      </c>
      <c r="L9" s="7" t="n">
        <v>0.0364</v>
      </c>
      <c r="M9" s="7" t="n">
        <v>0.03692656294576947</v>
      </c>
      <c r="N9" s="3" t="n">
        <v>303555.7943579851</v>
      </c>
      <c r="O9" s="3" t="n">
        <v>382870.6039957182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86806841.8404364</v>
      </c>
      <c r="F10" s="6" t="n">
        <v>74636086.29818742</v>
      </c>
      <c r="G10" s="6" t="n">
        <v>123403918.716754</v>
      </c>
      <c r="H10" s="6" t="n">
        <v>2879224844.541521</v>
      </c>
      <c r="I10" s="7" t="n">
        <v>0.03750000355548933</v>
      </c>
      <c r="J10" s="7" t="n">
        <v>0.04061250356615579</v>
      </c>
      <c r="K10" t="n">
        <v>3</v>
      </c>
      <c r="L10" s="7" t="n">
        <v>0.0364</v>
      </c>
      <c r="M10" s="7" t="n">
        <v>0.03692656294576947</v>
      </c>
      <c r="N10" s="3" t="n">
        <v>304323.1925158073</v>
      </c>
      <c r="O10" s="3" t="n">
        <v>383831.3648336361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55735869.73527548</v>
      </c>
      <c r="F11" s="6" t="n">
        <v>74586331.02769235</v>
      </c>
      <c r="G11" s="6" t="n">
        <v>112927513.3486385</v>
      </c>
      <c r="H11" s="6" t="n">
        <v>2914465341.130626</v>
      </c>
      <c r="I11" s="7" t="n">
        <v>0.03750000355548933</v>
      </c>
      <c r="J11" s="7" t="n">
        <v>0.04061250356615579</v>
      </c>
      <c r="K11" t="n">
        <v>3</v>
      </c>
      <c r="L11" s="7" t="n">
        <v>0.0364</v>
      </c>
      <c r="M11" s="7" t="n">
        <v>0.03692656294576947</v>
      </c>
      <c r="N11" s="3" t="n">
        <v>308166.9803164455</v>
      </c>
      <c r="O11" s="3" t="n">
        <v>383150.5056369744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79336065.29467803</v>
      </c>
      <c r="F12" s="6" t="n">
        <v>77268285.11342053</v>
      </c>
      <c r="G12" s="6" t="n">
        <v>111032090.9637735</v>
      </c>
      <c r="H12" s="6" t="n">
        <v>2902246750.621908</v>
      </c>
      <c r="I12" s="7" t="n">
        <v>0.03750000355548933</v>
      </c>
      <c r="J12" s="7" t="n">
        <v>0.04061250356615579</v>
      </c>
      <c r="K12" t="n">
        <v>3</v>
      </c>
      <c r="L12" s="7" t="n">
        <v>0.0364</v>
      </c>
      <c r="M12" s="7" t="n">
        <v>0.03692656294576947</v>
      </c>
      <c r="N12" s="3" t="n">
        <v>306834.2616068879</v>
      </c>
      <c r="O12" s="3" t="n">
        <v>384484.6224839138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56886236.73001598</v>
      </c>
      <c r="F13" s="6" t="n">
        <v>74733377.00458194</v>
      </c>
      <c r="G13" s="6" t="n">
        <v>106296252.8520661</v>
      </c>
      <c r="H13" s="6" t="n">
        <v>2907146310.332771</v>
      </c>
      <c r="I13" s="7" t="n">
        <v>0.03750000355548933</v>
      </c>
      <c r="J13" s="7" t="n">
        <v>0.04061250356615579</v>
      </c>
      <c r="K13" t="n">
        <v>3</v>
      </c>
      <c r="L13" s="7" t="n">
        <v>0.0364</v>
      </c>
      <c r="M13" s="7" t="n">
        <v>0.03692656294576947</v>
      </c>
      <c r="N13" s="3" t="n">
        <v>307368.671438415</v>
      </c>
      <c r="O13" s="3" t="n">
        <v>381775.6535496546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54395587.57499404</v>
      </c>
      <c r="F14" s="6" t="n">
        <v>78975186.58280288</v>
      </c>
      <c r="G14" s="6" t="n">
        <v>106289452.9998598</v>
      </c>
      <c r="H14" s="6" t="n">
        <v>2904952367.705979</v>
      </c>
      <c r="I14" s="7" t="n">
        <v>0.03750000355548933</v>
      </c>
      <c r="J14" s="7" t="n">
        <v>0.04061250356615579</v>
      </c>
      <c r="K14" t="n">
        <v>3</v>
      </c>
      <c r="L14" s="7" t="n">
        <v>0.0364</v>
      </c>
      <c r="M14" s="7" t="n">
        <v>0.03692656294576947</v>
      </c>
      <c r="N14" s="3" t="n">
        <v>307129.371464794</v>
      </c>
      <c r="O14" s="3" t="n">
        <v>381733.1447470395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51259235.19849242</v>
      </c>
      <c r="F15" s="6" t="n">
        <v>75499611.29075068</v>
      </c>
      <c r="G15" s="6" t="n">
        <v>106318077.1275745</v>
      </c>
      <c r="H15" s="6" t="n">
        <v>2904861379.159712</v>
      </c>
      <c r="I15" s="7" t="n">
        <v>0.03750000355548933</v>
      </c>
      <c r="J15" s="7" t="n">
        <v>0.04061250356615579</v>
      </c>
      <c r="K15" t="n">
        <v>3</v>
      </c>
      <c r="L15" s="7" t="n">
        <v>0.0364</v>
      </c>
      <c r="M15" s="7" t="n">
        <v>0.03692656294576947</v>
      </c>
      <c r="N15" s="3" t="n">
        <v>307119.447068205</v>
      </c>
      <c r="O15" s="3" t="n">
        <v>381000.1725228651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51334636.13208666</v>
      </c>
      <c r="F16" s="6" t="n">
        <v>73829781.30064061</v>
      </c>
      <c r="G16" s="6" t="n">
        <v>106356377.8226287</v>
      </c>
      <c r="H16" s="6" t="n">
        <v>2898145060.218309</v>
      </c>
      <c r="I16" s="7" t="n">
        <v>0.03750000355548933</v>
      </c>
      <c r="J16" s="7" t="n">
        <v>0.04061250356615579</v>
      </c>
      <c r="K16" t="n">
        <v>3</v>
      </c>
      <c r="L16" s="7" t="n">
        <v>0.0364</v>
      </c>
      <c r="M16" s="7" t="n">
        <v>0.03692656294576947</v>
      </c>
      <c r="N16" s="3" t="n">
        <v>306386.877799583</v>
      </c>
      <c r="O16" s="3" t="n">
        <v>380101.5050144822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52179667.35163317</v>
      </c>
      <c r="F17" s="6" t="n">
        <v>71606519.76113771</v>
      </c>
      <c r="G17" s="6" t="n">
        <v>106336984.9487036</v>
      </c>
      <c r="H17" s="6" t="n">
        <v>2970699955.683833</v>
      </c>
      <c r="I17" s="7" t="n">
        <v>0.03750000355548933</v>
      </c>
      <c r="J17" s="7" t="n">
        <v>0.04061250356615579</v>
      </c>
      <c r="K17" t="n">
        <v>3</v>
      </c>
      <c r="L17" s="7" t="n">
        <v>0.0364</v>
      </c>
      <c r="M17" s="7" t="n">
        <v>0.03692656294576947</v>
      </c>
      <c r="N17" s="3" t="n">
        <v>314300.6602107302</v>
      </c>
      <c r="O17" s="3" t="n">
        <v>387863.3849071475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50727024.80344096</v>
      </c>
      <c r="F18" s="6" t="n">
        <v>69752778.95967042</v>
      </c>
      <c r="G18" s="6" t="n">
        <v>106485554.4875584</v>
      </c>
      <c r="H18" s="6" t="n">
        <v>2788851992.468917</v>
      </c>
      <c r="I18" s="7" t="n">
        <v>0.03750000355548933</v>
      </c>
      <c r="J18" s="7" t="n">
        <v>0.04061250356615579</v>
      </c>
      <c r="K18" t="n">
        <v>3</v>
      </c>
      <c r="L18" s="7" t="n">
        <v>0.0364</v>
      </c>
      <c r="M18" s="7" t="n">
        <v>0.03692656294576947</v>
      </c>
      <c r="N18" s="3" t="n">
        <v>294465.9515593068</v>
      </c>
      <c r="O18" s="3" t="n">
        <v>367652.0134779223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50066401.91310941</v>
      </c>
      <c r="F19" s="6" t="n">
        <v>67797269.16444007</v>
      </c>
      <c r="G19" s="6" t="n">
        <v>106432974.8514239</v>
      </c>
      <c r="H19" s="6" t="n">
        <v>2792190524.285223</v>
      </c>
      <c r="I19" s="7" t="n">
        <v>0.03750000355548933</v>
      </c>
      <c r="J19" s="7" t="n">
        <v>0.04061250356615579</v>
      </c>
      <c r="K19" t="n">
        <v>3</v>
      </c>
      <c r="L19" s="7" t="n">
        <v>0.0364</v>
      </c>
      <c r="M19" s="7" t="n">
        <v>0.03692656294576947</v>
      </c>
      <c r="N19" s="3" t="n">
        <v>294830.0953458483</v>
      </c>
      <c r="O19" s="3" t="n">
        <v>367769.9874829751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51485609.60263484</v>
      </c>
      <c r="F20" s="6" t="n">
        <v>66719834.4557837</v>
      </c>
      <c r="G20" s="6" t="n">
        <v>106442587.2808068</v>
      </c>
      <c r="H20" s="6" t="n">
        <v>2803537276.16136</v>
      </c>
      <c r="I20" s="7" t="n">
        <v>0.03750000355548933</v>
      </c>
      <c r="J20" s="7" t="n">
        <v>0.04061250356615579</v>
      </c>
      <c r="K20" t="n">
        <v>3</v>
      </c>
      <c r="L20" s="7" t="n">
        <v>0.0364</v>
      </c>
      <c r="M20" s="7" t="n">
        <v>0.03692656294576947</v>
      </c>
      <c r="N20" s="3" t="n">
        <v>296067.7199726206</v>
      </c>
      <c r="O20" s="3" t="n">
        <v>369052.5068981854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52383239.81585507</v>
      </c>
      <c r="F21" s="6" t="n">
        <v>67513198.04280752</v>
      </c>
      <c r="G21" s="6" t="n">
        <v>106455238.2665053</v>
      </c>
      <c r="H21" s="6" t="n">
        <v>2799406207.587144</v>
      </c>
      <c r="I21" s="7" t="n">
        <v>0.03750000355548933</v>
      </c>
      <c r="J21" s="7" t="n">
        <v>0.04061250356615579</v>
      </c>
      <c r="K21" t="n">
        <v>3</v>
      </c>
      <c r="L21" s="7" t="n">
        <v>0.0364</v>
      </c>
      <c r="M21" s="7" t="n">
        <v>0.03692656294576947</v>
      </c>
      <c r="N21" s="3" t="n">
        <v>295617.1317991815</v>
      </c>
      <c r="O21" s="3" t="n">
        <v>368789.9779535549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51111523.9698009</v>
      </c>
      <c r="F22" s="6" t="n">
        <v>67032698.6111996</v>
      </c>
      <c r="G22" s="6" t="n">
        <v>106530285.11483</v>
      </c>
      <c r="H22" s="6" t="n">
        <v>2797748837.47726</v>
      </c>
      <c r="I22" s="7" t="n">
        <v>0.03750000355548933</v>
      </c>
      <c r="J22" s="7" t="n">
        <v>0.04061250356615579</v>
      </c>
      <c r="K22" t="n">
        <v>3</v>
      </c>
      <c r="L22" s="7" t="n">
        <v>0.0364</v>
      </c>
      <c r="M22" s="7" t="n">
        <v>0.03692656294576947</v>
      </c>
      <c r="N22" s="3" t="n">
        <v>295436.3574166922</v>
      </c>
      <c r="O22" s="3" t="n">
        <v>368422.8260497338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50679725.96653047</v>
      </c>
      <c r="F23" s="6" t="n">
        <v>68273622.92989354</v>
      </c>
      <c r="G23" s="6" t="n">
        <v>106209842.7768683</v>
      </c>
      <c r="H23" s="6" t="n">
        <v>2823431277.441771</v>
      </c>
      <c r="I23" s="7" t="n">
        <v>0.03750000355548933</v>
      </c>
      <c r="J23" s="7" t="n">
        <v>0.04061250356615579</v>
      </c>
      <c r="K23" t="n">
        <v>3</v>
      </c>
      <c r="L23" s="7" t="n">
        <v>0.0364</v>
      </c>
      <c r="M23" s="7" t="n">
        <v>0.03692656294576947</v>
      </c>
      <c r="N23" s="3" t="n">
        <v>298237.619004383</v>
      </c>
      <c r="O23" s="3" t="n">
        <v>371289.9860909391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50370029.34486293</v>
      </c>
      <c r="F24" s="6" t="n">
        <v>35832584.38892286</v>
      </c>
      <c r="G24" s="6" t="n">
        <v>134869772.9750939</v>
      </c>
      <c r="H24" s="6" t="n">
        <v>2875710984.302173</v>
      </c>
      <c r="I24" s="7" t="n">
        <v>0.03750000355548933</v>
      </c>
      <c r="J24" s="7" t="n">
        <v>0.04061250356615579</v>
      </c>
      <c r="K24" t="n">
        <v>3</v>
      </c>
      <c r="L24" s="7" t="n">
        <v>0.0364</v>
      </c>
      <c r="M24" s="7" t="n">
        <v>0.03692656294576947</v>
      </c>
      <c r="N24" s="3" t="n">
        <v>303939.9251266263</v>
      </c>
      <c r="O24" s="3" t="n">
        <v>376515.4807739933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50344611.05061571</v>
      </c>
      <c r="F25" s="6" t="n">
        <v>31091792.80012321</v>
      </c>
      <c r="G25" s="6" t="n">
        <v>166906447.5117323</v>
      </c>
      <c r="H25" s="6" t="n">
        <v>2990368976.163366</v>
      </c>
      <c r="I25" s="7" t="n">
        <v>0.03750000355548933</v>
      </c>
      <c r="J25" s="7" t="n">
        <v>0.04061250356615579</v>
      </c>
      <c r="K25" t="n">
        <v>3</v>
      </c>
      <c r="L25" s="7" t="n">
        <v>0.0364</v>
      </c>
      <c r="M25" s="7" t="n">
        <v>0.03692656294576947</v>
      </c>
      <c r="N25" s="3" t="n">
        <v>316446.0199044726</v>
      </c>
      <c r="O25" s="3" t="n">
        <v>391876.2700847145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50944392.4217291</v>
      </c>
      <c r="F26" s="6" t="n">
        <v>54536944.43641728</v>
      </c>
      <c r="G26" s="6" t="n">
        <v>174905990.8713613</v>
      </c>
      <c r="H26" s="6" t="n">
        <v>3135223165.415838</v>
      </c>
      <c r="I26" s="7" t="n">
        <v>0.03750000355548933</v>
      </c>
      <c r="J26" s="7" t="n">
        <v>0.04061250356615579</v>
      </c>
      <c r="K26" t="n">
        <v>3</v>
      </c>
      <c r="L26" s="7" t="n">
        <v>0.0364</v>
      </c>
      <c r="M26" s="7" t="n">
        <v>0.03692656294576947</v>
      </c>
      <c r="N26" s="3" t="n">
        <v>332245.705476784</v>
      </c>
      <c r="O26" s="3" t="n">
        <v>411193.871491632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50565289.64839695</v>
      </c>
      <c r="F27" s="6" t="n">
        <v>67943080.25770484</v>
      </c>
      <c r="G27" s="6" t="n">
        <v>191459906.6813183</v>
      </c>
      <c r="H27" s="6" t="n">
        <v>3211289928.449882</v>
      </c>
      <c r="I27" s="7" t="n">
        <v>0.03650000241537366</v>
      </c>
      <c r="J27" s="7" t="n">
        <v>0.03960950242261978</v>
      </c>
      <c r="K27" t="n">
        <v>3</v>
      </c>
      <c r="L27" s="7" t="n">
        <v>0.0364</v>
      </c>
      <c r="M27" s="7" t="n">
        <v>0.03680118780282747</v>
      </c>
      <c r="N27" s="3" t="n">
        <v>334368.4188951939</v>
      </c>
      <c r="O27" s="3" t="n">
        <v>414590.4869628215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50684526.19835092</v>
      </c>
      <c r="F28" s="6" t="n">
        <v>51312784.48707948</v>
      </c>
      <c r="G28" s="6" t="n">
        <v>150458263.8530219</v>
      </c>
      <c r="H28" s="6" t="n">
        <v>3292099375.067605</v>
      </c>
      <c r="I28" s="7" t="n">
        <v>0.03650000241537366</v>
      </c>
      <c r="J28" s="7" t="n">
        <v>0.03960950242261978</v>
      </c>
      <c r="K28" t="n">
        <v>3</v>
      </c>
      <c r="L28" s="7" t="n">
        <v>0.0364</v>
      </c>
      <c r="M28" s="7" t="n">
        <v>0.03680118780282747</v>
      </c>
      <c r="N28" s="3" t="n">
        <v>342969.0305834343</v>
      </c>
      <c r="O28" s="3" t="n">
        <v>417067.874719601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51443892.32589994</v>
      </c>
      <c r="F29" s="6" t="n">
        <v>56762100.0283076</v>
      </c>
      <c r="G29" s="6" t="n">
        <v>148940725.8800582</v>
      </c>
      <c r="H29" s="6" t="n">
        <v>3296589904.23606</v>
      </c>
      <c r="I29" s="7" t="n">
        <v>0.03650000241537366</v>
      </c>
      <c r="J29" s="7" t="n">
        <v>0.03960950242261978</v>
      </c>
      <c r="K29" t="n">
        <v>3</v>
      </c>
      <c r="L29" s="7" t="n">
        <v>0.0364</v>
      </c>
      <c r="M29" s="7" t="n">
        <v>0.03680118780282747</v>
      </c>
      <c r="N29" s="3" t="n">
        <v>343446.9610639547</v>
      </c>
      <c r="O29" s="3" t="n">
        <v>418043.8151805623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51294807.23677015</v>
      </c>
      <c r="F30" s="6" t="n">
        <v>58672592.76287633</v>
      </c>
      <c r="G30" s="6" t="n">
        <v>140084321.8061661</v>
      </c>
      <c r="H30" s="6" t="n">
        <v>3276366843.30941</v>
      </c>
      <c r="I30" s="7" t="n">
        <v>0.03650000241537366</v>
      </c>
      <c r="J30" s="7" t="n">
        <v>0.03960950242261978</v>
      </c>
      <c r="K30" t="n">
        <v>3</v>
      </c>
      <c r="L30" s="7" t="n">
        <v>0.0364</v>
      </c>
      <c r="M30" s="7" t="n">
        <v>0.03680118780282747</v>
      </c>
      <c r="N30" s="3" t="n">
        <v>341294.6051023981</v>
      </c>
      <c r="O30" s="3" t="n">
        <v>415161.1900272233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51815665.60647119</v>
      </c>
      <c r="F31" s="6" t="n">
        <v>58313605.34159191</v>
      </c>
      <c r="G31" s="6" t="n">
        <v>154475144.3495293</v>
      </c>
      <c r="H31" s="6" t="n">
        <v>3312250632.051809</v>
      </c>
      <c r="I31" s="7" t="n">
        <v>0.03650000241537366</v>
      </c>
      <c r="J31" s="7" t="n">
        <v>0.03960950242261978</v>
      </c>
      <c r="K31" t="n">
        <v>3</v>
      </c>
      <c r="L31" s="7" t="n">
        <v>0.0364</v>
      </c>
      <c r="M31" s="7" t="n">
        <v>0.03680118780282747</v>
      </c>
      <c r="N31" s="3" t="n">
        <v>345113.7443960527</v>
      </c>
      <c r="O31" s="3" t="n">
        <v>420529.2631189993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59681133.32946277</v>
      </c>
      <c r="F32" s="6" t="n">
        <v>59043123.38174734</v>
      </c>
      <c r="G32" s="6" t="n">
        <v>130752789.7099153</v>
      </c>
      <c r="H32" s="6" t="n">
        <v>3258122517.983321</v>
      </c>
      <c r="I32" s="7" t="n">
        <v>0.03650000241537366</v>
      </c>
      <c r="J32" s="7" t="n">
        <v>0.03960950242261978</v>
      </c>
      <c r="K32" t="n">
        <v>3</v>
      </c>
      <c r="L32" s="7" t="n">
        <v>0.0364</v>
      </c>
      <c r="M32" s="7" t="n">
        <v>0.03680118780282747</v>
      </c>
      <c r="N32" s="3" t="n">
        <v>339352.8474959402</v>
      </c>
      <c r="O32" s="3" t="n">
        <v>413159.5105374671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67253573.46902853</v>
      </c>
      <c r="F33" s="6" t="n">
        <v>69944172.19441128</v>
      </c>
      <c r="G33" s="6" t="n">
        <v>135699774.815579</v>
      </c>
      <c r="H33" s="6" t="n">
        <v>3362122392.270734</v>
      </c>
      <c r="I33" s="7" t="n">
        <v>0.03650000241537366</v>
      </c>
      <c r="J33" s="7" t="n">
        <v>0.03960950242261978</v>
      </c>
      <c r="K33" t="n">
        <v>3</v>
      </c>
      <c r="L33" s="7" t="n">
        <v>0.0364</v>
      </c>
      <c r="M33" s="7" t="n">
        <v>0.03680118780282747</v>
      </c>
      <c r="N33" s="3" t="n">
        <v>350421.6342753276</v>
      </c>
      <c r="O33" s="3" t="n">
        <v>426718.2485197183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85087299.19721687</v>
      </c>
      <c r="F34" s="6" t="n">
        <v>78610948.4058989</v>
      </c>
      <c r="G34" s="6" t="n">
        <v>131931405.5965129</v>
      </c>
      <c r="H34" s="6" t="n">
        <v>2779193695.575507</v>
      </c>
      <c r="I34" s="7" t="n">
        <v>0.03650000241537366</v>
      </c>
      <c r="J34" s="7" t="n">
        <v>0.03960950242261978</v>
      </c>
      <c r="K34" t="n">
        <v>3</v>
      </c>
      <c r="L34" s="7" t="n">
        <v>0.0364</v>
      </c>
      <c r="M34" s="7" t="n">
        <v>0.03680118780282747</v>
      </c>
      <c r="N34" s="3" t="n">
        <v>288380.0837877369</v>
      </c>
      <c r="O34" s="3" t="n">
        <v>367095.8463379316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86560462.48908544</v>
      </c>
      <c r="F35" s="6" t="n">
        <v>70470930.59786333</v>
      </c>
      <c r="G35" s="6" t="n">
        <v>129864360.3284257</v>
      </c>
      <c r="H35" s="6" t="n">
        <v>3376624034.805389</v>
      </c>
      <c r="I35" s="7" t="n">
        <v>0.03650000241537366</v>
      </c>
      <c r="J35" s="7" t="n">
        <v>0.03960950242261978</v>
      </c>
      <c r="K35" t="n">
        <v>3</v>
      </c>
      <c r="L35" s="7" t="n">
        <v>0.0364</v>
      </c>
      <c r="M35" s="7" t="n">
        <v>0.03680118780282747</v>
      </c>
      <c r="N35" s="3" t="n">
        <v>351965.0552675817</v>
      </c>
      <c r="O35" s="3" t="n">
        <v>429751.7101215186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9430564.941863894</v>
      </c>
      <c r="O37" s="12" t="n">
        <v>11700495.65151448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2026-07-13T18:32:09Z</dcterms:created>
  <dcterms:modified xmlns:dcterms="http://purl.org/dc/terms/" xmlns:xsi="http://www.w3.org/2001/XMLSchema-instance" xsi:type="dcterms:W3CDTF">2026-07-13T18:32:09Z</dcterms:modified>
</cp:coreProperties>
</file>