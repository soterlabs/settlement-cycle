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10086500.94216282</v>
      </c>
    </row>
    <row r="5">
      <c r="A5" t="inlineStr">
        <is>
          <t>+ agent_rate (subproxy USDS / sUSDS yield)</t>
        </is>
      </c>
      <c r="B5" s="3" t="n">
        <v>115391.3077449365</v>
      </c>
    </row>
    <row r="6">
      <c r="A6" t="inlineStr"/>
      <c r="B6" s="4" t="n">
        <v>10201892.24990776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9029202.172316257</v>
      </c>
    </row>
    <row r="10">
      <c r="A10" t="inlineStr">
        <is>
          <t>+ SDE revenue (Sky-Direct, full to Sky)</t>
        </is>
      </c>
      <c r="B10" s="3" t="n">
        <v>12598.4555305973</v>
      </c>
    </row>
    <row r="11">
      <c r="A11" t="inlineStr"/>
      <c r="B11" s="4" t="n">
        <v>9041800.627846856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9029202.172316257</v>
      </c>
    </row>
    <row r="15">
      <c r="A15" t="inlineStr">
        <is>
          <t>reduction from idle/SDE deductions</t>
        </is>
      </c>
      <c r="B15" s="3" t="n">
        <v>-2671293.479198225</v>
      </c>
    </row>
    <row r="16">
      <c r="A16" t="inlineStr"/>
      <c r="B16" s="4" t="n">
        <v>11700495.65151448</v>
      </c>
    </row>
    <row r="18">
      <c r="A18" s="5" t="inlineStr">
        <is>
          <t>sUSDS spread (Curve LP + PSM3) — deducted from sky_revenue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10086500.94216282</v>
      </c>
    </row>
    <row r="22">
      <c r="A22" t="inlineStr">
        <is>
          <t>− CoF (deducted per-venue in display)</t>
        </is>
      </c>
      <c r="B22" s="3" t="n">
        <v>-9029202.172316257</v>
      </c>
    </row>
    <row r="23">
      <c r="A23" t="inlineStr"/>
      <c r="B23" s="4" t="n">
        <v>-235529.1970209448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2026-06-23T21:45:49+00:00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2780948.049307498</v>
      </c>
      <c r="I2" s="6" t="n">
        <v>0</v>
      </c>
      <c r="J2" s="6" t="n">
        <v>2780948.049307498</v>
      </c>
      <c r="K2" s="6" t="n">
        <v>0</v>
      </c>
      <c r="L2" s="6" t="n">
        <v>1363240251.248581</v>
      </c>
      <c r="M2" s="7" t="n">
        <v>1</v>
      </c>
      <c r="N2" s="6" t="n">
        <v>3162987.351802382</v>
      </c>
      <c r="O2" s="6" t="n">
        <v>3162987.351802382</v>
      </c>
      <c r="P2" s="6" t="n">
        <v>-382039.302494884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1533077.3314008</v>
      </c>
      <c r="O3" s="6" t="n">
        <v>1533077.3314008</v>
      </c>
      <c r="P3" s="6" t="n">
        <v>1643297.66859919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1111584.796196142</v>
      </c>
      <c r="O4" s="6" t="n">
        <v>1111584.796196142</v>
      </c>
      <c r="P4" s="6" t="n">
        <v>-1111584.796196142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685775.6004282022</v>
      </c>
      <c r="O5" s="6" t="n">
        <v>685775.6004282022</v>
      </c>
      <c r="P5" s="6" t="n">
        <v>-108263.4629922022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406240.4444301074</v>
      </c>
      <c r="O6" s="6" t="n">
        <v>406240.4444301074</v>
      </c>
      <c r="P6" s="6" t="n">
        <v>146871.5955022305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370309.6810774226</v>
      </c>
      <c r="O7" s="6" t="n">
        <v>370309.6810774226</v>
      </c>
      <c r="P7" s="6" t="n">
        <v>-370309.6810775626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429848.8136485304</v>
      </c>
      <c r="I8" s="6" t="n">
        <v>0</v>
      </c>
      <c r="J8" s="6" t="n">
        <v>429848.8136485304</v>
      </c>
      <c r="K8" s="6" t="n">
        <v>0</v>
      </c>
      <c r="L8" s="6" t="n">
        <v>142898719.7175219</v>
      </c>
      <c r="M8" s="7" t="n">
        <v>1</v>
      </c>
      <c r="N8" s="6" t="n">
        <v>331553.3286530414</v>
      </c>
      <c r="O8" s="6" t="n">
        <v>296370.6310135078</v>
      </c>
      <c r="P8" s="6" t="n">
        <v>98295.48499548905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236393.7629313157</v>
      </c>
      <c r="O9" s="6" t="n">
        <v>236393.7629313157</v>
      </c>
      <c r="P9" s="6" t="n">
        <v>77818.03583561383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232019.9803244923</v>
      </c>
      <c r="O10" s="6" t="n">
        <v>232019.9803244923</v>
      </c>
      <c r="P10" s="6" t="n">
        <v>-222450.9688792808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232016.8258678683</v>
      </c>
      <c r="O11" s="6" t="n">
        <v>232016.8258678683</v>
      </c>
      <c r="P11" s="6" t="n">
        <v>-185731.3508248682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306025.5205752055</v>
      </c>
      <c r="I12" s="6" t="n">
        <v>0</v>
      </c>
      <c r="J12" s="6" t="n">
        <v>306025.5205752055</v>
      </c>
      <c r="K12" s="6" t="n">
        <v>0</v>
      </c>
      <c r="L12" s="6" t="n">
        <v>101734967.5107904</v>
      </c>
      <c r="M12" s="7" t="n">
        <v>1</v>
      </c>
      <c r="N12" s="6" t="n">
        <v>236045.2716811542</v>
      </c>
      <c r="O12" s="6" t="n">
        <v>210997.3873587797</v>
      </c>
      <c r="P12" s="6" t="n">
        <v>69980.24889405131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227246.3517057119</v>
      </c>
      <c r="I13" s="6" t="n">
        <v>0</v>
      </c>
      <c r="J13" s="6" t="n">
        <v>227246.3517057119</v>
      </c>
      <c r="K13" s="6" t="n">
        <v>0</v>
      </c>
      <c r="L13" s="6" t="n">
        <v>75545660.91178264</v>
      </c>
      <c r="M13" s="7" t="n">
        <v>1</v>
      </c>
      <c r="N13" s="6" t="n">
        <v>175280.8939793758</v>
      </c>
      <c r="O13" s="6" t="n">
        <v>156681.0062330612</v>
      </c>
      <c r="P13" s="6" t="n">
        <v>51965.45772633608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147996.0222361683</v>
      </c>
      <c r="O14" s="6" t="n">
        <v>147996.0222361683</v>
      </c>
      <c r="P14" s="6" t="n">
        <v>56790.9427433897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132420.0047807591</v>
      </c>
      <c r="O15" s="6" t="n">
        <v>132420.0047807591</v>
      </c>
      <c r="P15" s="6" t="n">
        <v>36396.63384970245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116962.5954142302</v>
      </c>
      <c r="O16" s="6" t="n">
        <v>116962.5954142302</v>
      </c>
      <c r="P16" s="6" t="n">
        <v>55772.8323187599</v>
      </c>
      <c r="Q16" s="6" t="n">
        <v>0</v>
      </c>
      <c r="R16" s="6" t="n">
        <v>0</v>
      </c>
      <c r="S16" t="inlineStr"/>
    </row>
    <row r="17">
      <c r="A17" t="inlineStr">
        <is>
          <t>SPREAD</t>
        </is>
      </c>
      <c r="B17" t="inlineStr">
        <is>
          <t>30bps sUSDS spread (Curve LP + PSM3) — Sky Revenue reduction</t>
        </is>
      </c>
      <c r="C17" t="inlineStr"/>
      <c r="D17" t="inlineStr"/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7" t="n">
        <v>0</v>
      </c>
      <c r="N17" s="6" t="n">
        <v>0</v>
      </c>
      <c r="O17" s="6" t="n">
        <v>-99849.35275556908</v>
      </c>
      <c r="P17" s="6" t="n">
        <v>0</v>
      </c>
      <c r="Q17" s="6" t="n">
        <v>0</v>
      </c>
      <c r="R17" s="6" t="n">
        <v>99849.35275556908</v>
      </c>
      <c r="S17" t="inlineStr">
        <is>
          <t>sky-revenue reduction (no CoF; computed outside venue loop)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10000122.636328</v>
      </c>
      <c r="F18" s="6" t="n">
        <v>0.154431</v>
      </c>
      <c r="G18" s="6" t="n">
        <v>-10000122.481897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9666785.220264766</v>
      </c>
      <c r="M18" s="7" t="n">
        <v>1</v>
      </c>
      <c r="N18" s="6" t="n">
        <v>22428.85607014862</v>
      </c>
      <c r="O18" s="6" t="n">
        <v>22428.85607014862</v>
      </c>
      <c r="P18" s="6" t="n">
        <v>-22428.85607014862</v>
      </c>
      <c r="Q18" s="6" t="n">
        <v>0</v>
      </c>
      <c r="R18" s="6" t="n">
        <v>0</v>
      </c>
      <c r="S18" t="inlineStr"/>
    </row>
    <row r="19">
      <c r="A19" t="inlineStr">
        <is>
          <t>S18</t>
        </is>
      </c>
      <c r="B19" t="inlineStr">
        <is>
          <t>Arkis Spark Prime USDC 1 (ERC-4626)</t>
        </is>
      </c>
      <c r="C19" t="inlineStr">
        <is>
          <t>ethereum</t>
        </is>
      </c>
      <c r="D19" t="inlineStr">
        <is>
          <t>B</t>
        </is>
      </c>
      <c r="E19" s="6" t="n">
        <v>10156910.09323084</v>
      </c>
      <c r="F19" s="6" t="n">
        <v>0.28330096818</v>
      </c>
      <c r="G19" s="6" t="n">
        <v>-10156909.80992987</v>
      </c>
      <c r="H19" s="6" t="n">
        <v>18286.18338612959</v>
      </c>
      <c r="I19" s="6" t="n">
        <v>0</v>
      </c>
      <c r="J19" s="6" t="n">
        <v>18286.18338612959</v>
      </c>
      <c r="K19" s="6" t="n">
        <v>0</v>
      </c>
      <c r="L19" s="6" t="n">
        <v>7104351.295236039</v>
      </c>
      <c r="M19" s="7" t="n">
        <v>1</v>
      </c>
      <c r="N19" s="6" t="n">
        <v>16483.50191318916</v>
      </c>
      <c r="O19" s="6" t="n">
        <v>16483.50191318916</v>
      </c>
      <c r="P19" s="6" t="n">
        <v>1802.681472940421</v>
      </c>
      <c r="Q19" s="6" t="n">
        <v>0</v>
      </c>
      <c r="R19" s="6" t="n">
        <v>0</v>
      </c>
      <c r="S19" t="inlineStr"/>
    </row>
    <row r="20">
      <c r="A20" t="inlineStr">
        <is>
          <t>S24</t>
        </is>
      </c>
      <c r="B20" t="inlineStr">
        <is>
          <t>Spark.fi USDT Reserve Curve (sUSDS/USDT)</t>
        </is>
      </c>
      <c r="C20" t="inlineStr">
        <is>
          <t>ethereum</t>
        </is>
      </c>
      <c r="D20" t="inlineStr">
        <is>
          <t>F</t>
        </is>
      </c>
      <c r="E20" s="6" t="n">
        <v>50000879.85586481</v>
      </c>
      <c r="F20" s="6" t="n">
        <v>50002415.26289953</v>
      </c>
      <c r="G20" s="6" t="n">
        <v>1535.4070347212</v>
      </c>
      <c r="H20" s="6" t="n">
        <v>12598.4555305973</v>
      </c>
      <c r="I20" s="6" t="n">
        <v>103204.2172004009</v>
      </c>
      <c r="J20" s="6" t="n">
        <v>103204.2172004009</v>
      </c>
      <c r="K20" s="6" t="n">
        <v>12598.4555305973</v>
      </c>
      <c r="L20" s="6" t="n">
        <v>49997070.94700827</v>
      </c>
      <c r="M20" s="7" t="n">
        <v>0</v>
      </c>
      <c r="N20" s="6" t="n">
        <v>0</v>
      </c>
      <c r="O20" s="6" t="n">
        <v>12598.4555305973</v>
      </c>
      <c r="P20" s="6" t="n">
        <v>103204.2172004009</v>
      </c>
      <c r="Q20" s="6" t="n">
        <v>49997070.94700827</v>
      </c>
      <c r="R20" s="6" t="n">
        <v>0</v>
      </c>
      <c r="S20" t="inlineStr">
        <is>
          <t>SDE (fixed)</t>
        </is>
      </c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11586.20362585538</v>
      </c>
      <c r="O21" s="6" t="n">
        <v>11586.20362585538</v>
      </c>
      <c r="P21" s="6" t="n">
        <v>-11586.20362585538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4.24e-10</v>
      </c>
      <c r="I22" s="6" t="n">
        <v>0</v>
      </c>
      <c r="J22" s="6" t="n">
        <v>4.24e-10</v>
      </c>
      <c r="K22" s="6" t="n">
        <v>0</v>
      </c>
      <c r="L22" s="6" t="n">
        <v>4987919.364249567</v>
      </c>
      <c r="M22" s="7" t="n">
        <v>1</v>
      </c>
      <c r="N22" s="6" t="n">
        <v>11572.96070628914</v>
      </c>
      <c r="O22" s="6" t="n">
        <v>11572.96070628914</v>
      </c>
      <c r="P22" s="6" t="n">
        <v>-11572.96070628871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3.55e-10</v>
      </c>
      <c r="I23" s="6" t="n">
        <v>0</v>
      </c>
      <c r="J23" s="6" t="n">
        <v>3.55e-10</v>
      </c>
      <c r="K23" s="6" t="n">
        <v>0</v>
      </c>
      <c r="L23" s="6" t="n">
        <v>4969005.171823935</v>
      </c>
      <c r="M23" s="7" t="n">
        <v>1</v>
      </c>
      <c r="N23" s="6" t="n">
        <v>11529.07603419481</v>
      </c>
      <c r="O23" s="6" t="n">
        <v>11529.07603419481</v>
      </c>
      <c r="P23" s="6" t="n">
        <v>-11529.07603419446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11182.9209210445</v>
      </c>
      <c r="O24" s="6" t="n">
        <v>11182.9209210445</v>
      </c>
      <c r="P24" s="6" t="n">
        <v>-11182.92092104084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6737.202744073134</v>
      </c>
      <c r="O25" s="6" t="n">
        <v>6737.202744073134</v>
      </c>
      <c r="P25" s="6" t="n">
        <v>2809.222246235423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2546.708946593631</v>
      </c>
      <c r="O26" s="6" t="n">
        <v>2546.708946593631</v>
      </c>
      <c r="P26" s="6" t="n">
        <v>1950.724598214259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2946.286265177527</v>
      </c>
      <c r="I27" s="6" t="n">
        <v>0</v>
      </c>
      <c r="J27" s="6" t="n">
        <v>2946.286265177527</v>
      </c>
      <c r="K27" s="6" t="n">
        <v>0</v>
      </c>
      <c r="L27" s="6" t="n">
        <v>979461.8988048178</v>
      </c>
      <c r="M27" s="7" t="n">
        <v>1</v>
      </c>
      <c r="N27" s="6" t="n">
        <v>2272.545572693094</v>
      </c>
      <c r="O27" s="6" t="n">
        <v>2031.394973840892</v>
      </c>
      <c r="P27" s="6" t="n">
        <v>673.7406924844335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797.3050149757979</v>
      </c>
      <c r="O28" s="6" t="n">
        <v>797.3050149757979</v>
      </c>
      <c r="P28" s="6" t="n">
        <v>-671.9261789757979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309.7492483211129</v>
      </c>
      <c r="O29" s="6" t="n">
        <v>309.7492483211129</v>
      </c>
      <c r="P29" s="6" t="n">
        <v>-133809.4150383211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7.475904441466632</v>
      </c>
      <c r="O30" s="6" t="n">
        <v>7.475904441466632</v>
      </c>
      <c r="P30" s="6" t="n">
        <v>-7.475904432397096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2.925548309613985</v>
      </c>
      <c r="O31" s="6" t="n">
        <v>2.925548309613985</v>
      </c>
      <c r="P31" s="6" t="n">
        <v>-2.925548304983275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0.8821362359123132</v>
      </c>
      <c r="O32" s="6" t="n">
        <v>0.8821362359123132</v>
      </c>
      <c r="P32" s="6" t="n">
        <v>13.24695000149432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0.658697838855011</v>
      </c>
      <c r="O33" s="6" t="n">
        <v>0.658697838855011</v>
      </c>
      <c r="P33" s="6" t="n">
        <v>-0.658697838855011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0.230093839660209</v>
      </c>
      <c r="O34" s="6" t="n">
        <v>0.230093839660209</v>
      </c>
      <c r="P34" s="6" t="n">
        <v>0.1012862074668309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0.05082765215153476</v>
      </c>
      <c r="O35" s="6" t="n">
        <v>0.05082765215153476</v>
      </c>
      <c r="P35" s="6" t="n">
        <v>-0.05082179445185925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0.0001335505988786616</v>
      </c>
      <c r="O36" s="6" t="n">
        <v>0.0001335505988786616</v>
      </c>
      <c r="P36" s="6" t="n">
        <v>8.944940112133838e-05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1.467989296569305e-05</v>
      </c>
      <c r="O37" s="6" t="n">
        <v>1.467989296569305e-05</v>
      </c>
      <c r="P37" s="6" t="n">
        <v>4.320107034306949e-06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1.33206667524193e-05</v>
      </c>
      <c r="O38" s="6" t="n">
        <v>1.33206667524193e-05</v>
      </c>
      <c r="P38" s="6" t="n">
        <v>-1.02142146263343e-05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3.935055866890377e-06</v>
      </c>
      <c r="O39" s="6" t="n">
        <v>3.935055866890377e-06</v>
      </c>
      <c r="P39" s="6" t="n">
        <v>6.4944133109623e-08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2.877381227289496e-06</v>
      </c>
      <c r="O40" s="6" t="n">
        <v>2.877381227289496e-06</v>
      </c>
      <c r="P40" s="6" t="n">
        <v>-2.877381227289496e-06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1.206869825148095e-06</v>
      </c>
      <c r="O41" s="6" t="n">
        <v>1.206869825148095e-06</v>
      </c>
      <c r="P41" s="6" t="n">
        <v>-3.984155694530947e-07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1.737741921461616e-07</v>
      </c>
      <c r="O42" s="6" t="n">
        <v>1.737741921461616e-07</v>
      </c>
      <c r="P42" s="6" t="n">
        <v>-1.737741921461616e-07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4.374010266082916e-11</v>
      </c>
      <c r="O43" s="6" t="n">
        <v>4.374010266082916e-11</v>
      </c>
      <c r="P43" s="6" t="n">
        <v>-1.310844010266083e-08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2988806180.523181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1988806180.523181</v>
      </c>
    </row>
    <row r="8">
      <c r="A8" t="inlineStr">
        <is>
          <t>Base rate (BR = SSR + 30bps), period avg</t>
        </is>
      </c>
      <c r="B8" s="7" t="n">
        <v>0.04028621767610686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0.03688895040288687</v>
      </c>
    </row>
    <row r="11">
      <c r="A11" s="8" t="inlineStr">
        <is>
          <t>Effective blended rate charged</t>
        </is>
      </c>
      <c r="B11" s="10" t="n">
        <v>0.0391410605085019</v>
      </c>
    </row>
    <row r="12">
      <c r="A12" s="8" t="inlineStr">
        <is>
          <t>Diff vs base rate (bps)</t>
        </is>
      </c>
      <c r="B12" s="11" t="n">
        <v>-11.45157167604957</v>
      </c>
    </row>
    <row r="13">
      <c r="A13" s="8" t="inlineStr">
        <is>
          <t>Subsidy benefit to prime (USD)</t>
        </is>
      </c>
      <c r="B13" s="12" t="n">
        <v>270879.1830035028</v>
      </c>
    </row>
    <row r="15">
      <c r="A15" t="inlineStr">
        <is>
          <t>CoF at full base rate (no subsidy)</t>
        </is>
      </c>
      <c r="B15" s="3" t="n">
        <v>9702873.433050597</v>
      </c>
    </row>
    <row r="16">
      <c r="A16" t="inlineStr">
        <is>
          <t xml:space="preserve">  − actual CoF (subsidy on first tranche)</t>
        </is>
      </c>
      <c r="B16" s="3" t="n">
        <v>9431994.250047093</v>
      </c>
    </row>
    <row r="17">
      <c r="A17" s="8" t="inlineStr">
        <is>
          <t xml:space="preserve">  = subsidy benefit</t>
        </is>
      </c>
      <c r="B17" s="12" t="n">
        <v>270879.1830035028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2977531.418973944</v>
      </c>
    </row>
    <row r="21">
      <c r="A21" t="inlineStr">
        <is>
          <t>Excess (&gt; cap)</t>
        </is>
      </c>
      <c r="B21" s="6" t="n">
        <v>1988806180.523181</v>
      </c>
      <c r="C21" s="3" t="n">
        <v>6454462.831073149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9029202.172316257</v>
      </c>
    </row>
    <row r="25">
      <c r="A25" t="inlineStr">
        <is>
          <t>+ Sky-Direct revenue (full venue yield on fixed/capped SDE)</t>
        </is>
      </c>
      <c r="B25" s="3" t="n">
        <v>12598.4555305973</v>
      </c>
    </row>
    <row r="26">
      <c r="A26" t="inlineStr">
        <is>
          <t>equals sky_revenue (total Sky take this month)</t>
        </is>
      </c>
      <c r="B26" s="3" t="n">
        <v>9041800.627846856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11700495.65151448</v>
      </c>
    </row>
    <row r="31">
      <c r="A31" t="inlineStr">
        <is>
          <t xml:space="preserve">    ↳ actual CoF on Net_Subs (BR × utilized)</t>
        </is>
      </c>
      <c r="B31" s="3" t="n">
        <v>9029202.172316257</v>
      </c>
    </row>
    <row r="32">
      <c r="A32" t="inlineStr">
        <is>
          <t xml:space="preserve">    ↳ reduction from idle/SDE deductions</t>
        </is>
      </c>
      <c r="B32" s="3" t="n">
        <v>-2671293.479198225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178920.973062644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3 (SoM) → 3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12598.4555305973</v>
      </c>
      <c r="J5" s="6" t="n">
        <v>12598.4555305973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0.03750000355548933</v>
      </c>
      <c r="J6" s="7" t="n">
        <v>0.04061250356615579</v>
      </c>
      <c r="K6" t="n">
        <v>3</v>
      </c>
      <c r="L6" s="7" t="n">
        <v>0.0364</v>
      </c>
      <c r="M6" s="7" t="n">
        <v>0.03692656294576947</v>
      </c>
      <c r="N6" s="3" t="n">
        <v>293968.6389684683</v>
      </c>
      <c r="O6" s="3" t="n">
        <v>374578.727875959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0.03750000355548933</v>
      </c>
      <c r="J7" s="7" t="n">
        <v>0.04061250356615579</v>
      </c>
      <c r="K7" t="n">
        <v>3</v>
      </c>
      <c r="L7" s="7" t="n">
        <v>0.0364</v>
      </c>
      <c r="M7" s="7" t="n">
        <v>0.03692656294576947</v>
      </c>
      <c r="N7" s="3" t="n">
        <v>303061.5086135139</v>
      </c>
      <c r="O7" s="3" t="n">
        <v>382071.5092839777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0.03750000355548933</v>
      </c>
      <c r="J8" s="7" t="n">
        <v>0.04061250356615579</v>
      </c>
      <c r="K8" t="n">
        <v>3</v>
      </c>
      <c r="L8" s="7" t="n">
        <v>0.0364</v>
      </c>
      <c r="M8" s="7" t="n">
        <v>0.03692656294576947</v>
      </c>
      <c r="N8" s="3" t="n">
        <v>303894.6070669644</v>
      </c>
      <c r="O8" s="3" t="n">
        <v>382353.5908336217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0.03750000355548933</v>
      </c>
      <c r="J9" s="7" t="n">
        <v>0.04061250356615579</v>
      </c>
      <c r="K9" t="n">
        <v>3</v>
      </c>
      <c r="L9" s="7" t="n">
        <v>0.0364</v>
      </c>
      <c r="M9" s="7" t="n">
        <v>0.03692656294576947</v>
      </c>
      <c r="N9" s="3" t="n">
        <v>303603.7862496005</v>
      </c>
      <c r="O9" s="3" t="n">
        <v>382870.6039957182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0.03750000355548933</v>
      </c>
      <c r="J10" s="7" t="n">
        <v>0.04061250356615579</v>
      </c>
      <c r="K10" t="n">
        <v>3</v>
      </c>
      <c r="L10" s="7" t="n">
        <v>0.0364</v>
      </c>
      <c r="M10" s="7" t="n">
        <v>0.03692656294576947</v>
      </c>
      <c r="N10" s="3" t="n">
        <v>304371.1846209283</v>
      </c>
      <c r="O10" s="3" t="n">
        <v>383831.3648336361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0.03750000355548933</v>
      </c>
      <c r="J11" s="7" t="n">
        <v>0.04061250356615579</v>
      </c>
      <c r="K11" t="n">
        <v>3</v>
      </c>
      <c r="L11" s="7" t="n">
        <v>0.0364</v>
      </c>
      <c r="M11" s="7" t="n">
        <v>0.03692656294576947</v>
      </c>
      <c r="N11" s="3" t="n">
        <v>308214.9721610684</v>
      </c>
      <c r="O11" s="3" t="n">
        <v>383150.5056369744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0.03750000355548933</v>
      </c>
      <c r="J12" s="7" t="n">
        <v>0.04061250356615579</v>
      </c>
      <c r="K12" t="n">
        <v>3</v>
      </c>
      <c r="L12" s="7" t="n">
        <v>0.0364</v>
      </c>
      <c r="M12" s="7" t="n">
        <v>0.03692656294576947</v>
      </c>
      <c r="N12" s="3" t="n">
        <v>306882.2535891147</v>
      </c>
      <c r="O12" s="3" t="n">
        <v>384484.6224839138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0.03750000355548933</v>
      </c>
      <c r="J13" s="7" t="n">
        <v>0.04061250356615579</v>
      </c>
      <c r="K13" t="n">
        <v>3</v>
      </c>
      <c r="L13" s="7" t="n">
        <v>0.0364</v>
      </c>
      <c r="M13" s="7" t="n">
        <v>0.03692656294576947</v>
      </c>
      <c r="N13" s="3" t="n">
        <v>307416.6634557144</v>
      </c>
      <c r="O13" s="3" t="n">
        <v>381775.6535496546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0.03750000355548933</v>
      </c>
      <c r="J14" s="7" t="n">
        <v>0.04061250356615579</v>
      </c>
      <c r="K14" t="n">
        <v>3</v>
      </c>
      <c r="L14" s="7" t="n">
        <v>0.0364</v>
      </c>
      <c r="M14" s="7" t="n">
        <v>0.03692656294576947</v>
      </c>
      <c r="N14" s="3" t="n">
        <v>307177.3636311037</v>
      </c>
      <c r="O14" s="3" t="n">
        <v>381733.1447470395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0.03750000355548933</v>
      </c>
      <c r="J15" s="7" t="n">
        <v>0.04061250356615579</v>
      </c>
      <c r="K15" t="n">
        <v>3</v>
      </c>
      <c r="L15" s="7" t="n">
        <v>0.0364</v>
      </c>
      <c r="M15" s="7" t="n">
        <v>0.03692656294576947</v>
      </c>
      <c r="N15" s="3" t="n">
        <v>307167.4399157268</v>
      </c>
      <c r="O15" s="3" t="n">
        <v>381000.1725228651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0.03750000355548933</v>
      </c>
      <c r="J16" s="7" t="n">
        <v>0.04061250356615579</v>
      </c>
      <c r="K16" t="n">
        <v>3</v>
      </c>
      <c r="L16" s="7" t="n">
        <v>0.0364</v>
      </c>
      <c r="M16" s="7" t="n">
        <v>0.03692656294576947</v>
      </c>
      <c r="N16" s="3" t="n">
        <v>306434.870495785</v>
      </c>
      <c r="O16" s="3" t="n">
        <v>380101.5050144822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0.03750000355548933</v>
      </c>
      <c r="J17" s="7" t="n">
        <v>0.04061250356615579</v>
      </c>
      <c r="K17" t="n">
        <v>3</v>
      </c>
      <c r="L17" s="7" t="n">
        <v>0.0364</v>
      </c>
      <c r="M17" s="7" t="n">
        <v>0.03692656294576947</v>
      </c>
      <c r="N17" s="3" t="n">
        <v>314348.6523767441</v>
      </c>
      <c r="O17" s="3" t="n">
        <v>387863.3849071475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0.03750000355548933</v>
      </c>
      <c r="J18" s="7" t="n">
        <v>0.04061250356615579</v>
      </c>
      <c r="K18" t="n">
        <v>3</v>
      </c>
      <c r="L18" s="7" t="n">
        <v>0.0364</v>
      </c>
      <c r="M18" s="7" t="n">
        <v>0.03692656294576947</v>
      </c>
      <c r="N18" s="3" t="n">
        <v>294513.9444550358</v>
      </c>
      <c r="O18" s="3" t="n">
        <v>367652.0134779223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0.03750000355548933</v>
      </c>
      <c r="J19" s="7" t="n">
        <v>0.04061250356615579</v>
      </c>
      <c r="K19" t="n">
        <v>3</v>
      </c>
      <c r="L19" s="7" t="n">
        <v>0.0364</v>
      </c>
      <c r="M19" s="7" t="n">
        <v>0.03692656294576947</v>
      </c>
      <c r="N19" s="3" t="n">
        <v>294878.0891243936</v>
      </c>
      <c r="O19" s="3" t="n">
        <v>367769.9874829751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0.03750000355548933</v>
      </c>
      <c r="J20" s="7" t="n">
        <v>0.04061250356615579</v>
      </c>
      <c r="K20" t="n">
        <v>3</v>
      </c>
      <c r="L20" s="7" t="n">
        <v>0.0364</v>
      </c>
      <c r="M20" s="7" t="n">
        <v>0.03692656294576947</v>
      </c>
      <c r="N20" s="3" t="n">
        <v>296115.7123173613</v>
      </c>
      <c r="O20" s="3" t="n">
        <v>369052.5068981854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0.03750000355548933</v>
      </c>
      <c r="J21" s="7" t="n">
        <v>0.04061250356615579</v>
      </c>
      <c r="K21" t="n">
        <v>3</v>
      </c>
      <c r="L21" s="7" t="n">
        <v>0.0364</v>
      </c>
      <c r="M21" s="7" t="n">
        <v>0.03692656294576947</v>
      </c>
      <c r="N21" s="3" t="n">
        <v>295665.1239463767</v>
      </c>
      <c r="O21" s="3" t="n">
        <v>368789.9779535549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0.03750000355548933</v>
      </c>
      <c r="J22" s="7" t="n">
        <v>0.04061250356615579</v>
      </c>
      <c r="K22" t="n">
        <v>3</v>
      </c>
      <c r="L22" s="7" t="n">
        <v>0.0364</v>
      </c>
      <c r="M22" s="7" t="n">
        <v>0.03692656294576947</v>
      </c>
      <c r="N22" s="3" t="n">
        <v>295484.3499399574</v>
      </c>
      <c r="O22" s="3" t="n">
        <v>368422.8260497338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0.03750000355548933</v>
      </c>
      <c r="J23" s="7" t="n">
        <v>0.04061250356615579</v>
      </c>
      <c r="K23" t="n">
        <v>3</v>
      </c>
      <c r="L23" s="7" t="n">
        <v>0.0364</v>
      </c>
      <c r="M23" s="7" t="n">
        <v>0.03692656294576947</v>
      </c>
      <c r="N23" s="3" t="n">
        <v>298285.611925158</v>
      </c>
      <c r="O23" s="3" t="n">
        <v>371289.9860909391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0.03750000355548933</v>
      </c>
      <c r="J24" s="7" t="n">
        <v>0.04061250356615579</v>
      </c>
      <c r="K24" t="n">
        <v>3</v>
      </c>
      <c r="L24" s="7" t="n">
        <v>0.0364</v>
      </c>
      <c r="M24" s="7" t="n">
        <v>0.03692656294576947</v>
      </c>
      <c r="N24" s="3" t="n">
        <v>303987.9182784049</v>
      </c>
      <c r="O24" s="3" t="n">
        <v>376515.4807739933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0.03750000355548933</v>
      </c>
      <c r="J25" s="7" t="n">
        <v>0.04061250356615579</v>
      </c>
      <c r="K25" t="n">
        <v>3</v>
      </c>
      <c r="L25" s="7" t="n">
        <v>0.0364</v>
      </c>
      <c r="M25" s="7" t="n">
        <v>0.03692656294576947</v>
      </c>
      <c r="N25" s="3" t="n">
        <v>316494.0133295352</v>
      </c>
      <c r="O25" s="3" t="n">
        <v>391876.2700847145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0.03750000355548933</v>
      </c>
      <c r="J26" s="7" t="n">
        <v>0.04061250356615579</v>
      </c>
      <c r="K26" t="n">
        <v>3</v>
      </c>
      <c r="L26" s="7" t="n">
        <v>0.0364</v>
      </c>
      <c r="M26" s="7" t="n">
        <v>0.03692656294576947</v>
      </c>
      <c r="N26" s="3" t="n">
        <v>332293.6981463116</v>
      </c>
      <c r="O26" s="3" t="n">
        <v>411193.871491632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0.03650000241537366</v>
      </c>
      <c r="J27" s="7" t="n">
        <v>0.03960950242261978</v>
      </c>
      <c r="K27" t="n">
        <v>3</v>
      </c>
      <c r="L27" s="7" t="n">
        <v>0.0364</v>
      </c>
      <c r="M27" s="7" t="n">
        <v>0.03680118780282747</v>
      </c>
      <c r="N27" s="3" t="n">
        <v>334415.2492646032</v>
      </c>
      <c r="O27" s="3" t="n">
        <v>414590.4869628215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0.03650000241537366</v>
      </c>
      <c r="J28" s="7" t="n">
        <v>0.03960950242261978</v>
      </c>
      <c r="K28" t="n">
        <v>3</v>
      </c>
      <c r="L28" s="7" t="n">
        <v>0.0364</v>
      </c>
      <c r="M28" s="7" t="n">
        <v>0.03680118780282747</v>
      </c>
      <c r="N28" s="3" t="n">
        <v>343015.8606536701</v>
      </c>
      <c r="O28" s="3" t="n">
        <v>417067.874719601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0.03650000241537366</v>
      </c>
      <c r="J29" s="7" t="n">
        <v>0.03960950242261978</v>
      </c>
      <c r="K29" t="n">
        <v>3</v>
      </c>
      <c r="L29" s="7" t="n">
        <v>0.0364</v>
      </c>
      <c r="M29" s="7" t="n">
        <v>0.03680118780282747</v>
      </c>
      <c r="N29" s="3" t="n">
        <v>343493.7908974375</v>
      </c>
      <c r="O29" s="3" t="n">
        <v>418043.8151805623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0.03650000241537366</v>
      </c>
      <c r="J30" s="7" t="n">
        <v>0.03960950242261978</v>
      </c>
      <c r="K30" t="n">
        <v>3</v>
      </c>
      <c r="L30" s="7" t="n">
        <v>0.0364</v>
      </c>
      <c r="M30" s="7" t="n">
        <v>0.03680118780282747</v>
      </c>
      <c r="N30" s="3" t="n">
        <v>341341.4349697607</v>
      </c>
      <c r="O30" s="3" t="n">
        <v>415161.1900272233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0.03650000241537366</v>
      </c>
      <c r="J31" s="7" t="n">
        <v>0.03960950242261978</v>
      </c>
      <c r="K31" t="n">
        <v>3</v>
      </c>
      <c r="L31" s="7" t="n">
        <v>0.0364</v>
      </c>
      <c r="M31" s="7" t="n">
        <v>0.03680118780282747</v>
      </c>
      <c r="N31" s="3" t="n">
        <v>345160.5740428209</v>
      </c>
      <c r="O31" s="3" t="n">
        <v>420529.2631189993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0.03650000241537366</v>
      </c>
      <c r="J32" s="7" t="n">
        <v>0.03960950242261978</v>
      </c>
      <c r="K32" t="n">
        <v>3</v>
      </c>
      <c r="L32" s="7" t="n">
        <v>0.0364</v>
      </c>
      <c r="M32" s="7" t="n">
        <v>0.03680118780282747</v>
      </c>
      <c r="N32" s="3" t="n">
        <v>339399.6764418596</v>
      </c>
      <c r="O32" s="3" t="n">
        <v>413159.5105374671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0.03650000241537366</v>
      </c>
      <c r="J33" s="7" t="n">
        <v>0.03960950242261978</v>
      </c>
      <c r="K33" t="n">
        <v>3</v>
      </c>
      <c r="L33" s="7" t="n">
        <v>0.0364</v>
      </c>
      <c r="M33" s="7" t="n">
        <v>0.03680118780282747</v>
      </c>
      <c r="N33" s="3" t="n">
        <v>350468.4632448382</v>
      </c>
      <c r="O33" s="3" t="n">
        <v>426718.2485197183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0.03650000241537366</v>
      </c>
      <c r="J34" s="7" t="n">
        <v>0.03960950242261978</v>
      </c>
      <c r="K34" t="n">
        <v>3</v>
      </c>
      <c r="L34" s="7" t="n">
        <v>0.0364</v>
      </c>
      <c r="M34" s="7" t="n">
        <v>0.03680118780282747</v>
      </c>
      <c r="N34" s="3" t="n">
        <v>288426.9132758148</v>
      </c>
      <c r="O34" s="3" t="n">
        <v>367095.8463379316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0.03650000241537366</v>
      </c>
      <c r="J35" s="7" t="n">
        <v>0.03960950242261978</v>
      </c>
      <c r="K35" t="n">
        <v>3</v>
      </c>
      <c r="L35" s="7" t="n">
        <v>0.0364</v>
      </c>
      <c r="M35" s="7" t="n">
        <v>0.03680118780282747</v>
      </c>
      <c r="N35" s="3" t="n">
        <v>352011.8846490217</v>
      </c>
      <c r="O35" s="3" t="n">
        <v>429751.7101215186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9431994.250047093</v>
      </c>
      <c r="O37" s="12" t="n">
        <v>11700495.65151448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2026-06-23T21:45:49Z</dcterms:created>
  <dcterms:modified xmlns:dcterms="http://purl.org/dc/terms/" xmlns:xsi="http://www.w3.org/2001/XMLSchema-instance" xsi:type="dcterms:W3CDTF">2026-06-23T21:45:49Z</dcterms:modified>
</cp:coreProperties>
</file>