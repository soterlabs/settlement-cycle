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10086500.94216305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11707957.62990799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9253073.276984449</v>
      </c>
    </row>
    <row r="11">
      <c r="A11" t="inlineStr">
        <is>
          <t>+ SDE revenue (Sky-Direct, full to Sky)</t>
        </is>
      </c>
      <c r="B11" s="3" t="n">
        <v>12598.4555305973</v>
      </c>
    </row>
    <row r="12">
      <c r="A12" t="inlineStr"/>
      <c r="B12" s="4" t="n">
        <v>9265671.732515046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9253073.276984449</v>
      </c>
    </row>
    <row r="16">
      <c r="A16" t="inlineStr">
        <is>
          <t>reduction from idle/SDE deductions</t>
        </is>
      </c>
      <c r="B16" s="3" t="n">
        <v>-2447422.374530034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10086500.94216305</v>
      </c>
    </row>
    <row r="23">
      <c r="A23" t="inlineStr">
        <is>
          <t>− CoF (deducted per-venue in display)</t>
        </is>
      </c>
      <c r="B23" s="3" t="n">
        <v>-9253073.276984449</v>
      </c>
    </row>
    <row r="24">
      <c r="A24" t="inlineStr"/>
      <c r="B24" s="4" t="n">
        <v>-459400.3016889081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2026-07-03T07:23:28+00:00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3239887.004567656</v>
      </c>
      <c r="O2" s="6" t="n">
        <v>3239887.004567656</v>
      </c>
      <c r="P2" s="6" t="n">
        <v>-458938.9552601014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1570350.042712735</v>
      </c>
      <c r="O3" s="6" t="n">
        <v>1570350.042712735</v>
      </c>
      <c r="P3" s="6" t="n">
        <v>1606024.957287254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1138610.033839894</v>
      </c>
      <c r="O4" s="6" t="n">
        <v>1138610.033839894</v>
      </c>
      <c r="P4" s="6" t="n">
        <v>-1138610.033839894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702448.416245115</v>
      </c>
      <c r="O5" s="6" t="n">
        <v>702448.416245115</v>
      </c>
      <c r="P5" s="6" t="n">
        <v>-124936.278809115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416117.1039425409</v>
      </c>
      <c r="O6" s="6" t="n">
        <v>416117.1039425409</v>
      </c>
      <c r="P6" s="6" t="n">
        <v>136994.935989797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-1.029929695e-07</v>
      </c>
      <c r="I7" s="6" t="n">
        <v>0</v>
      </c>
      <c r="J7" s="6" t="n">
        <v>-1.029929695e-07</v>
      </c>
      <c r="K7" s="6" t="n">
        <v>0</v>
      </c>
      <c r="L7" s="6" t="n">
        <v>159602618.1970353</v>
      </c>
      <c r="M7" s="7" t="n">
        <v>1</v>
      </c>
      <c r="N7" s="6" t="n">
        <v>379312.7793270081</v>
      </c>
      <c r="O7" s="6" t="n">
        <v>379312.7793270081</v>
      </c>
      <c r="P7" s="6" t="n">
        <v>-379312.779327111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339614.1689317927</v>
      </c>
      <c r="O8" s="6" t="n">
        <v>304431.4712922591</v>
      </c>
      <c r="P8" s="6" t="n">
        <v>90234.64471673773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242141.050625949</v>
      </c>
      <c r="O9" s="6" t="n">
        <v>242141.050625949</v>
      </c>
      <c r="P9" s="6" t="n">
        <v>72070.74814098052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237660.9310894051</v>
      </c>
      <c r="O10" s="6" t="n">
        <v>237660.9310894051</v>
      </c>
      <c r="P10" s="6" t="n">
        <v>-228091.9196441936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237657.6999405303</v>
      </c>
      <c r="O11" s="6" t="n">
        <v>237657.6999405303</v>
      </c>
      <c r="P11" s="6" t="n">
        <v>-191372.2248975303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241784.0867348476</v>
      </c>
      <c r="O12" s="6" t="n">
        <v>216736.2024124731</v>
      </c>
      <c r="P12" s="6" t="n">
        <v>64241.43384035787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179542.3842682066</v>
      </c>
      <c r="O13" s="6" t="n">
        <v>160942.4965218921</v>
      </c>
      <c r="P13" s="6" t="n">
        <v>47703.96743750521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151594.1531974312</v>
      </c>
      <c r="O14" s="6" t="n">
        <v>151594.1531974312</v>
      </c>
      <c r="P14" s="6" t="n">
        <v>53192.81178212681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168816.6386304617</v>
      </c>
      <c r="I15" s="6" t="n">
        <v>0</v>
      </c>
      <c r="J15" s="6" t="n">
        <v>168816.6386304617</v>
      </c>
      <c r="K15" s="6" t="n">
        <v>0</v>
      </c>
      <c r="L15" s="6" t="n">
        <v>57072716.55221562</v>
      </c>
      <c r="M15" s="7" t="n">
        <v>1</v>
      </c>
      <c r="N15" s="6" t="n">
        <v>135639.4461677169</v>
      </c>
      <c r="O15" s="6" t="n">
        <v>135639.4461677169</v>
      </c>
      <c r="P15" s="6" t="n">
        <v>33177.19246274478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172735.4277329785</v>
      </c>
      <c r="I16" s="6" t="n">
        <v>0</v>
      </c>
      <c r="J16" s="6" t="n">
        <v>172735.4277329785</v>
      </c>
      <c r="K16" s="6" t="n">
        <v>0</v>
      </c>
      <c r="L16" s="6" t="n">
        <v>50410608.77727573</v>
      </c>
      <c r="M16" s="7" t="n">
        <v>1</v>
      </c>
      <c r="N16" s="6" t="n">
        <v>119806.2308681482</v>
      </c>
      <c r="O16" s="6" t="n">
        <v>119806.2308681482</v>
      </c>
      <c r="P16" s="6" t="n">
        <v>52929.19686483028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22974.15424933163</v>
      </c>
      <c r="O18" s="6" t="n">
        <v>22974.15424933163</v>
      </c>
      <c r="P18" s="6" t="n">
        <v>-22974.15424933163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16884.25456645465</v>
      </c>
      <c r="O19" s="6" t="n">
        <v>16884.25456645465</v>
      </c>
      <c r="P19" s="6" t="n">
        <v>1401.928819674936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11867.89145340497</v>
      </c>
      <c r="O21" s="6" t="n">
        <v>11867.89145340497</v>
      </c>
      <c r="P21" s="6" t="n">
        <v>-11867.89145340497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4.44e-10</v>
      </c>
      <c r="I22" s="6" t="n">
        <v>0</v>
      </c>
      <c r="J22" s="6" t="n">
        <v>4.44e-10</v>
      </c>
      <c r="K22" s="6" t="n">
        <v>0</v>
      </c>
      <c r="L22" s="6" t="n">
        <v>4987919.364249567</v>
      </c>
      <c r="M22" s="7" t="n">
        <v>1</v>
      </c>
      <c r="N22" s="6" t="n">
        <v>11854.32656735484</v>
      </c>
      <c r="O22" s="6" t="n">
        <v>11854.32656735484</v>
      </c>
      <c r="P22" s="6" t="n">
        <v>-11854.32656735439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-7.25e-10</v>
      </c>
      <c r="I23" s="6" t="n">
        <v>0</v>
      </c>
      <c r="J23" s="6" t="n">
        <v>-7.25e-10</v>
      </c>
      <c r="K23" s="6" t="n">
        <v>0</v>
      </c>
      <c r="L23" s="6" t="n">
        <v>4969005.171823935</v>
      </c>
      <c r="M23" s="7" t="n">
        <v>1</v>
      </c>
      <c r="N23" s="6" t="n">
        <v>11809.37495579145</v>
      </c>
      <c r="O23" s="6" t="n">
        <v>11809.37495579145</v>
      </c>
      <c r="P23" s="6" t="n">
        <v>-11809.37495579218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-2.584619e-08</v>
      </c>
      <c r="I24" s="6" t="n">
        <v>0</v>
      </c>
      <c r="J24" s="6" t="n">
        <v>-2.584619e-08</v>
      </c>
      <c r="K24" s="6" t="n">
        <v>0</v>
      </c>
      <c r="L24" s="6" t="n">
        <v>4819813.11667611</v>
      </c>
      <c r="M24" s="7" t="n">
        <v>1</v>
      </c>
      <c r="N24" s="6" t="n">
        <v>11454.80399867992</v>
      </c>
      <c r="O24" s="6" t="n">
        <v>11454.80399867992</v>
      </c>
      <c r="P24" s="6" t="n">
        <v>-11454.80399870576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9546.424990317191</v>
      </c>
      <c r="I25" s="6" t="n">
        <v>0</v>
      </c>
      <c r="J25" s="6" t="n">
        <v>9546.424990317191</v>
      </c>
      <c r="K25" s="6" t="n">
        <v>0</v>
      </c>
      <c r="L25" s="6" t="n">
        <v>2903718.839188297</v>
      </c>
      <c r="M25" s="7" t="n">
        <v>1</v>
      </c>
      <c r="N25" s="6" t="n">
        <v>6900.999969292268</v>
      </c>
      <c r="O25" s="6" t="n">
        <v>6900.999969292268</v>
      </c>
      <c r="P25" s="6" t="n">
        <v>2645.425021024923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2608.625423615132</v>
      </c>
      <c r="O26" s="6" t="n">
        <v>2608.625423615132</v>
      </c>
      <c r="P26" s="6" t="n">
        <v>1888.808121224131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2327.796494051909</v>
      </c>
      <c r="O27" s="6" t="n">
        <v>2086.645895199707</v>
      </c>
      <c r="P27" s="6" t="n">
        <v>618.4897711256187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816.6893728565566</v>
      </c>
      <c r="O28" s="6" t="n">
        <v>816.6893728565566</v>
      </c>
      <c r="P28" s="6" t="n">
        <v>-691.3105368565565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317.2799801865517</v>
      </c>
      <c r="O29" s="6" t="n">
        <v>317.2799801865517</v>
      </c>
      <c r="P29" s="6" t="n">
        <v>-133816.9457701865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-1.4761558479e-08</v>
      </c>
      <c r="I30" s="6" t="n">
        <v>0</v>
      </c>
      <c r="J30" s="6" t="n">
        <v>-1.4761558479e-08</v>
      </c>
      <c r="K30" s="6" t="n">
        <v>0</v>
      </c>
      <c r="L30" s="6" t="n">
        <v>3222.097566510731</v>
      </c>
      <c r="M30" s="7" t="n">
        <v>1</v>
      </c>
      <c r="N30" s="6" t="n">
        <v>7.657661240288332</v>
      </c>
      <c r="O30" s="6" t="n">
        <v>7.657661240288332</v>
      </c>
      <c r="P30" s="6" t="n">
        <v>-7.65766125504989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3.63071e-09</v>
      </c>
      <c r="I31" s="6" t="n">
        <v>0</v>
      </c>
      <c r="J31" s="6" t="n">
        <v>3.63071e-09</v>
      </c>
      <c r="K31" s="6" t="n">
        <v>0</v>
      </c>
      <c r="L31" s="6" t="n">
        <v>1260.904571865159</v>
      </c>
      <c r="M31" s="7" t="n">
        <v>1</v>
      </c>
      <c r="N31" s="6" t="n">
        <v>2.996675261491348</v>
      </c>
      <c r="O31" s="6" t="n">
        <v>2.996675261491348</v>
      </c>
      <c r="P31" s="6" t="n">
        <v>-2.996675257860638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0.9035830400529201</v>
      </c>
      <c r="O32" s="6" t="n">
        <v>0.9035830400529201</v>
      </c>
      <c r="P32" s="6" t="n">
        <v>13.22550319735372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0.674712330679116</v>
      </c>
      <c r="O33" s="6" t="n">
        <v>0.674712330679116</v>
      </c>
      <c r="P33" s="6" t="n">
        <v>-0.674712330679116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0.2356879614208338</v>
      </c>
      <c r="O34" s="6" t="n">
        <v>0.2356879614208338</v>
      </c>
      <c r="P34" s="6" t="n">
        <v>0.0956920857062061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0.05206339177569098</v>
      </c>
      <c r="O35" s="6" t="n">
        <v>0.05206339177569098</v>
      </c>
      <c r="P35" s="6" t="n">
        <v>-0.05205753407601547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0.0001367975276640427</v>
      </c>
      <c r="O36" s="6" t="n">
        <v>0.0001367975276640427</v>
      </c>
      <c r="P36" s="6" t="n">
        <v>8.620247233595731e-05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1.503679564854757e-05</v>
      </c>
      <c r="O37" s="6" t="n">
        <v>1.503679564854757e-05</v>
      </c>
      <c r="P37" s="6" t="n">
        <v>3.96320435145243e-06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1.364452345304103e-05</v>
      </c>
      <c r="O38" s="6" t="n">
        <v>1.364452345304103e-05</v>
      </c>
      <c r="P38" s="6" t="n">
        <v>-1.053807132695603e-05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4.030726318940522e-06</v>
      </c>
      <c r="O39" s="6" t="n">
        <v>4.030726318940522e-06</v>
      </c>
      <c r="P39" s="6" t="n">
        <v>-3.07263189405215e-08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2.947337124244251e-06</v>
      </c>
      <c r="O40" s="6" t="n">
        <v>2.947337124244251e-06</v>
      </c>
      <c r="P40" s="6" t="n">
        <v>-2.947337124244251e-06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1.23621166568182e-06</v>
      </c>
      <c r="O41" s="6" t="n">
        <v>1.23621166568182e-06</v>
      </c>
      <c r="P41" s="6" t="n">
        <v>-4.277574099868199e-07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1.779990509740007e-07</v>
      </c>
      <c r="O42" s="6" t="n">
        <v>1.779990509740007e-07</v>
      </c>
      <c r="P42" s="6" t="n">
        <v>-1.779990509740007e-07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-1.7787e-09</v>
      </c>
      <c r="I43" s="6" t="n">
        <v>0</v>
      </c>
      <c r="J43" s="6" t="n">
        <v>-1.7787e-09</v>
      </c>
      <c r="K43" s="6" t="n">
        <v>0</v>
      </c>
      <c r="L43" s="6" t="n">
        <v>1.903535e-08</v>
      </c>
      <c r="M43" s="7" t="n">
        <v>1</v>
      </c>
      <c r="N43" s="6" t="n">
        <v>4.523955556323376e-11</v>
      </c>
      <c r="O43" s="6" t="n">
        <v>4.523955556323376e-11</v>
      </c>
      <c r="P43" s="6" t="n">
        <v>-1.823939555563234e-09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-6.258474e-08</v>
      </c>
      <c r="I48" s="6" t="n">
        <v>0</v>
      </c>
      <c r="J48" s="6" t="n">
        <v>-6.258474e-08</v>
      </c>
      <c r="K48" s="6" t="n">
        <v>0</v>
      </c>
      <c r="L48" s="6" t="n">
        <v>48.90651071720747</v>
      </c>
      <c r="M48" s="7" t="n">
        <v>0</v>
      </c>
      <c r="N48" s="6" t="n">
        <v>0</v>
      </c>
      <c r="O48" s="6" t="n">
        <v>0</v>
      </c>
      <c r="P48" s="6" t="n">
        <v>-6.258474e-08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2988806180.523181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1988806180.523181</v>
      </c>
    </row>
    <row r="8">
      <c r="A8" t="inlineStr">
        <is>
          <t>Base rate (BR = SSR + 30bps), period avg</t>
        </is>
      </c>
      <c r="B8" s="7" t="n">
        <v>0.04028621767610686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0.0391410605085019</v>
      </c>
    </row>
    <row r="12">
      <c r="A12" s="8" t="inlineStr">
        <is>
          <t>Diff vs base rate (bps)</t>
        </is>
      </c>
      <c r="B12" s="11" t="n">
        <v>-11.45157167604957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9702873.433050597</v>
      </c>
    </row>
    <row r="16">
      <c r="A16" t="inlineStr">
        <is>
          <t xml:space="preserve">  − actual CoF (subsidy on first tranche)</t>
        </is>
      </c>
      <c r="B16" s="3" t="n">
        <v>9431994.250047093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1988806180.523181</v>
      </c>
      <c r="C21" s="3" t="n">
        <v>6454462.831073149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9253073.276984449</v>
      </c>
    </row>
    <row r="25">
      <c r="A25" t="inlineStr">
        <is>
          <t>+ Sky-Direct revenue (full venue yield on fixed/capped SDE)</t>
        </is>
      </c>
      <c r="B25" s="3" t="n">
        <v>12598.4555305973</v>
      </c>
    </row>
    <row r="26">
      <c r="A26" t="inlineStr">
        <is>
          <t>equals sky_revenue (total Sky take this month)</t>
        </is>
      </c>
      <c r="B26" s="3" t="n">
        <v>9265671.732515046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9253073.276984449</v>
      </c>
    </row>
    <row r="32">
      <c r="A32" t="inlineStr">
        <is>
          <t xml:space="preserve">    ↳ reduction from idle/SDE deductions</t>
        </is>
      </c>
      <c r="B32" s="3" t="n">
        <v>-2447422.374530034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293968.6389684683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303061.5086135139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303894.6070669644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303603.7862496005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304371.1846209283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308214.9721610684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306882.2535891147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307416.6634557144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307177.3636311037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307167.4399157268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306434.870495785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314348.6523767441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294513.9444550358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294878.0891243936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296115.7123173613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295665.1239463767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295484.3499399574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298285.611925158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303987.9182784049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316494.0133295352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332293.6981463116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334415.2492646032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343015.8606536701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343493.7908974375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341341.4349697607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345160.5740428209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339399.6764418596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350468.4632448382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288426.9132758148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352011.8846490217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9431994.250047093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2026-07-03T07:23:29Z</dcterms:created>
  <dcterms:modified xmlns:dcterms="http://purl.org/dc/terms/" xmlns:xsi="http://www.w3.org/2001/XMLSchema-instance" xsi:type="dcterms:W3CDTF">2026-07-03T07:23:29Z</dcterms:modified>
</cp:coreProperties>
</file>