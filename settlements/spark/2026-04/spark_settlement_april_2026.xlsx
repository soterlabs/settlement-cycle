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10558759.94985224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1506065.38</v>
      </c>
    </row>
    <row r="7">
      <c r="A7" t="inlineStr"/>
      <c r="B7" s="4" t="n">
        <v>12180216.63759718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9290941.403556865</v>
      </c>
    </row>
    <row r="11">
      <c r="A11" t="inlineStr">
        <is>
          <t>+ SDE revenue (Sky-Direct, full to Sky)</t>
        </is>
      </c>
      <c r="B11" s="3" t="n">
        <v>12587.56221525919</v>
      </c>
    </row>
    <row r="12">
      <c r="A12" t="inlineStr"/>
      <c r="B12" s="4" t="n">
        <v>9303528.965772124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9290941.403556865</v>
      </c>
    </row>
    <row r="16">
      <c r="A16" t="inlineStr">
        <is>
          <t>reduction from idle/SDE deductions</t>
        </is>
      </c>
      <c r="B16" s="3" t="n">
        <v>-2448851.682713232</v>
      </c>
    </row>
    <row r="17">
      <c r="A17" t="inlineStr"/>
      <c r="B17" s="4" t="n">
        <v>11739793.0862701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10558759.94985224</v>
      </c>
    </row>
    <row r="23">
      <c r="A23" t="inlineStr">
        <is>
          <t>− CoF (deducted per-venue in display)</t>
        </is>
      </c>
      <c r="B23" s="3" t="n">
        <v>-9290941.403556865</v>
      </c>
    </row>
    <row r="24">
      <c r="A24" t="inlineStr"/>
      <c r="B24" s="4" t="n">
        <v>-25009.42057213358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2026-07-31T00:19:42+00:00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2780948.049307554</v>
      </c>
      <c r="I2" s="6" t="n">
        <v>0</v>
      </c>
      <c r="J2" s="6" t="n">
        <v>2780948.049307554</v>
      </c>
      <c r="K2" s="6" t="n">
        <v>0</v>
      </c>
      <c r="L2" s="6" t="n">
        <v>1363240251.248581</v>
      </c>
      <c r="M2" s="7" t="n">
        <v>1</v>
      </c>
      <c r="N2" s="6" t="n">
        <v>3591153.626958914</v>
      </c>
      <c r="O2" s="6" t="n">
        <v>3591153.626958914</v>
      </c>
      <c r="P2" s="6" t="n">
        <v>-810205.5776513597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1740606.460513108</v>
      </c>
      <c r="O3" s="6" t="n">
        <v>1740606.460513108</v>
      </c>
      <c r="P3" s="6" t="n">
        <v>1435768.539486881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282411706.537503</v>
      </c>
      <c r="F4" s="6" t="n">
        <v>677669071.17383</v>
      </c>
      <c r="G4" s="6" t="n">
        <v>395257364.636327</v>
      </c>
      <c r="H4" s="6" t="n">
        <v>577512.1374370001</v>
      </c>
      <c r="I4" s="6" t="n">
        <v>0</v>
      </c>
      <c r="J4" s="6" t="n">
        <v>577512.1374370001</v>
      </c>
      <c r="K4" s="6" t="n">
        <v>0</v>
      </c>
      <c r="L4" s="6" t="n">
        <v>295567701.6207994</v>
      </c>
      <c r="M4" s="7" t="n">
        <v>1</v>
      </c>
      <c r="N4" s="6" t="n">
        <v>778607.4558136683</v>
      </c>
      <c r="O4" s="6" t="n">
        <v>778607.4558136683</v>
      </c>
      <c r="P4" s="6" t="n">
        <v>-201095.3183766684</v>
      </c>
      <c r="Q4" s="6" t="n">
        <v>0</v>
      </c>
      <c r="R4" s="6" t="n">
        <v>0</v>
      </c>
      <c r="S4" t="inlineStr"/>
    </row>
    <row r="5">
      <c r="A5" t="inlineStr">
        <is>
          <t>S9</t>
        </is>
      </c>
      <c r="B5" t="inlineStr">
        <is>
          <t>Aave Ethereum USDT (aToken)</t>
        </is>
      </c>
      <c r="C5" t="inlineStr">
        <is>
          <t>ethereum</t>
        </is>
      </c>
      <c r="D5" t="inlineStr">
        <is>
          <t>C</t>
        </is>
      </c>
      <c r="E5" s="6" t="n">
        <v>495610843.871423</v>
      </c>
      <c r="F5" s="6" t="n">
        <v>5.897868</v>
      </c>
      <c r="G5" s="6" t="n">
        <v>-495610837.973555</v>
      </c>
      <c r="H5" s="6" t="n">
        <v>467640.351562</v>
      </c>
      <c r="I5" s="6" t="n">
        <v>0</v>
      </c>
      <c r="J5" s="6" t="n">
        <v>467640.351562</v>
      </c>
      <c r="K5" s="6" t="n">
        <v>0</v>
      </c>
      <c r="L5" s="6" t="n">
        <v>256422375.9369288</v>
      </c>
      <c r="M5" s="7" t="n">
        <v>1</v>
      </c>
      <c r="N5" s="6" t="n">
        <v>675487.7906047176</v>
      </c>
      <c r="O5" s="6" t="n">
        <v>675487.7906047176</v>
      </c>
      <c r="P5" s="6" t="n">
        <v>-207847.4390427176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461232.2729021552</v>
      </c>
      <c r="O6" s="6" t="n">
        <v>461232.2729021552</v>
      </c>
      <c r="P6" s="6" t="n">
        <v>91879.76703018267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142898719.7175219</v>
      </c>
      <c r="F7" s="6" t="n">
        <v>143328568.5311704</v>
      </c>
      <c r="G7" s="6" t="n">
        <v>429848.8136485304</v>
      </c>
      <c r="H7" s="6" t="n">
        <v>429848.8136485304</v>
      </c>
      <c r="I7" s="6" t="n">
        <v>0</v>
      </c>
      <c r="J7" s="6" t="n">
        <v>429848.8136485304</v>
      </c>
      <c r="K7" s="6" t="n">
        <v>0</v>
      </c>
      <c r="L7" s="6" t="n">
        <v>142898719.7175219</v>
      </c>
      <c r="M7" s="7" t="n">
        <v>1</v>
      </c>
      <c r="N7" s="6" t="n">
        <v>376434.9351710783</v>
      </c>
      <c r="O7" s="6" t="n">
        <v>341252.2375315447</v>
      </c>
      <c r="P7" s="6" t="n">
        <v>53413.8784774521</v>
      </c>
      <c r="Q7" s="6" t="n">
        <v>0</v>
      </c>
      <c r="R7" s="6" t="n">
        <v>35182.6976395336</v>
      </c>
      <c r="S7" t="inlineStr"/>
    </row>
    <row r="8">
      <c r="A8" t="inlineStr">
        <is>
          <t>S1</t>
        </is>
      </c>
      <c r="B8" t="inlineStr">
        <is>
          <t>Spark USDS (SparkLend spToken)</t>
        </is>
      </c>
      <c r="C8" t="inlineStr">
        <is>
          <t>ethereum</t>
        </is>
      </c>
      <c r="D8" t="inlineStr">
        <is>
          <t>C</t>
        </is>
      </c>
      <c r="E8" s="6" t="n">
        <v>150752807.5253913</v>
      </c>
      <c r="F8" s="6" t="n">
        <v>147862782.1336161</v>
      </c>
      <c r="G8" s="6" t="n">
        <v>-2890025.391775267</v>
      </c>
      <c r="H8" s="6" t="n">
        <v>314211.7987669295</v>
      </c>
      <c r="I8" s="6" t="n">
        <v>0</v>
      </c>
      <c r="J8" s="6" t="n">
        <v>314211.7987669295</v>
      </c>
      <c r="K8" s="6" t="n">
        <v>0</v>
      </c>
      <c r="L8" s="6" t="n">
        <v>101885166.4356003</v>
      </c>
      <c r="M8" s="7" t="n">
        <v>1</v>
      </c>
      <c r="N8" s="6" t="n">
        <v>268393.8393422635</v>
      </c>
      <c r="O8" s="6" t="n">
        <v>268393.8393422635</v>
      </c>
      <c r="P8" s="6" t="n">
        <v>45817.95942466601</v>
      </c>
      <c r="Q8" s="6" t="n">
        <v>48760833.18343966</v>
      </c>
      <c r="R8" s="6" t="n">
        <v>0</v>
      </c>
      <c r="S8" t="inlineStr">
        <is>
          <t>(avg excl. lending_idle)</t>
        </is>
      </c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100000454.4463709</v>
      </c>
      <c r="F9" s="6" t="n">
        <v>99998676.75316638</v>
      </c>
      <c r="G9" s="6" t="n">
        <v>-1777.693204525303</v>
      </c>
      <c r="H9" s="6" t="n">
        <v>9569.011445211523</v>
      </c>
      <c r="I9" s="6" t="n">
        <v>0</v>
      </c>
      <c r="J9" s="6" t="n">
        <v>9569.011445211523</v>
      </c>
      <c r="K9" s="6" t="n">
        <v>0</v>
      </c>
      <c r="L9" s="6" t="n">
        <v>100000076.2228826</v>
      </c>
      <c r="M9" s="7" t="n">
        <v>1</v>
      </c>
      <c r="N9" s="6" t="n">
        <v>263427.9879097331</v>
      </c>
      <c r="O9" s="6" t="n">
        <v>263427.9879097331</v>
      </c>
      <c r="P9" s="6" t="n">
        <v>-253858.9764645215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100000230.666889</v>
      </c>
      <c r="F10" s="6" t="n">
        <v>100001095.915921</v>
      </c>
      <c r="G10" s="6" t="n">
        <v>865.2490320000001</v>
      </c>
      <c r="H10" s="6" t="n">
        <v>46285.475044</v>
      </c>
      <c r="I10" s="6" t="n">
        <v>0</v>
      </c>
      <c r="J10" s="6" t="n">
        <v>46285.475044</v>
      </c>
      <c r="K10" s="6" t="n">
        <v>0</v>
      </c>
      <c r="L10" s="6" t="n">
        <v>99998716.65935527</v>
      </c>
      <c r="M10" s="7" t="n">
        <v>1</v>
      </c>
      <c r="N10" s="6" t="n">
        <v>263424.4064416186</v>
      </c>
      <c r="O10" s="6" t="n">
        <v>263424.4064416186</v>
      </c>
      <c r="P10" s="6" t="n">
        <v>-217138.9313976186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101734967.5107904</v>
      </c>
      <c r="F11" s="6" t="n">
        <v>102040993.0313656</v>
      </c>
      <c r="G11" s="6" t="n">
        <v>306025.5205752055</v>
      </c>
      <c r="H11" s="6" t="n">
        <v>306025.5205752055</v>
      </c>
      <c r="I11" s="6" t="n">
        <v>0</v>
      </c>
      <c r="J11" s="6" t="n">
        <v>306025.5205752055</v>
      </c>
      <c r="K11" s="6" t="n">
        <v>0</v>
      </c>
      <c r="L11" s="6" t="n">
        <v>101734967.5107904</v>
      </c>
      <c r="M11" s="7" t="n">
        <v>1</v>
      </c>
      <c r="N11" s="6" t="n">
        <v>267998.1736383625</v>
      </c>
      <c r="O11" s="6" t="n">
        <v>242950.289315988</v>
      </c>
      <c r="P11" s="6" t="n">
        <v>38027.34693684301</v>
      </c>
      <c r="Q11" s="6" t="n">
        <v>0</v>
      </c>
      <c r="R11" s="6" t="n">
        <v>25047.88432237454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75545660.91178264</v>
      </c>
      <c r="F12" s="6" t="n">
        <v>75772907.26348835</v>
      </c>
      <c r="G12" s="6" t="n">
        <v>227246.3517057119</v>
      </c>
      <c r="H12" s="6" t="n">
        <v>227246.3517057119</v>
      </c>
      <c r="I12" s="6" t="n">
        <v>0</v>
      </c>
      <c r="J12" s="6" t="n">
        <v>227246.3517057119</v>
      </c>
      <c r="K12" s="6" t="n">
        <v>0</v>
      </c>
      <c r="L12" s="6" t="n">
        <v>75545660.91178264</v>
      </c>
      <c r="M12" s="7" t="n">
        <v>1</v>
      </c>
      <c r="N12" s="6" t="n">
        <v>199008.2628031842</v>
      </c>
      <c r="O12" s="6" t="n">
        <v>180408.3750568696</v>
      </c>
      <c r="P12" s="6" t="n">
        <v>28238.08890252763</v>
      </c>
      <c r="Q12" s="6" t="n">
        <v>0</v>
      </c>
      <c r="R12" s="6" t="n">
        <v>18599.8877463146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100001961.5815342</v>
      </c>
      <c r="F13" s="6" t="n">
        <v>76904851.98939763</v>
      </c>
      <c r="G13" s="6" t="n">
        <v>-23097109.59213662</v>
      </c>
      <c r="H13" s="6" t="n">
        <v>204786.964979558</v>
      </c>
      <c r="I13" s="6" t="n">
        <v>0</v>
      </c>
      <c r="J13" s="6" t="n">
        <v>204786.964979558</v>
      </c>
      <c r="K13" s="6" t="n">
        <v>0</v>
      </c>
      <c r="L13" s="6" t="n">
        <v>63785944.13982024</v>
      </c>
      <c r="M13" s="7" t="n">
        <v>1</v>
      </c>
      <c r="N13" s="6" t="n">
        <v>168029.9011395205</v>
      </c>
      <c r="O13" s="6" t="n">
        <v>168029.9011395205</v>
      </c>
      <c r="P13" s="6" t="n">
        <v>36757.06384003753</v>
      </c>
      <c r="Q13" s="6" t="n">
        <v>0</v>
      </c>
      <c r="R13" s="6" t="n">
        <v>0</v>
      </c>
      <c r="S13" t="inlineStr"/>
    </row>
    <row r="14">
      <c r="A14" t="inlineStr">
        <is>
          <t>S11</t>
        </is>
      </c>
      <c r="B14" t="inlineStr">
        <is>
          <t>Spark Blue Chip USDT Vault (Morpho V2)</t>
        </is>
      </c>
      <c r="C14" t="inlineStr">
        <is>
          <t>ethereum</t>
        </is>
      </c>
      <c r="D14" t="inlineStr">
        <is>
          <t>B</t>
        </is>
      </c>
      <c r="E14" s="6" t="n">
        <v>40001.50457793332</v>
      </c>
      <c r="F14" s="6" t="n">
        <v>51710579.95350124</v>
      </c>
      <c r="G14" s="6" t="n">
        <v>51670578.4489233</v>
      </c>
      <c r="H14" s="6" t="n">
        <v>168816.6386304617</v>
      </c>
      <c r="I14" s="6" t="n">
        <v>0</v>
      </c>
      <c r="J14" s="6" t="n">
        <v>168816.6386304617</v>
      </c>
      <c r="K14" s="6" t="n">
        <v>0</v>
      </c>
      <c r="L14" s="6" t="n">
        <v>57072716.55221562</v>
      </c>
      <c r="M14" s="7" t="n">
        <v>1</v>
      </c>
      <c r="N14" s="6" t="n">
        <v>150345.3942613335</v>
      </c>
      <c r="O14" s="6" t="n">
        <v>150345.3942613335</v>
      </c>
      <c r="P14" s="6" t="n">
        <v>18471.24436912821</v>
      </c>
      <c r="Q14" s="6" t="n">
        <v>0</v>
      </c>
      <c r="R14" s="6" t="n">
        <v>0</v>
      </c>
      <c r="S14" t="inlineStr"/>
    </row>
    <row r="15">
      <c r="A15" t="inlineStr">
        <is>
          <t>S14</t>
        </is>
      </c>
      <c r="B15" t="inlineStr">
        <is>
          <t>Maple syrupUSDC (ERC-4626)</t>
        </is>
      </c>
      <c r="C15" t="inlineStr">
        <is>
          <t>ethereum</t>
        </is>
      </c>
      <c r="D15" t="inlineStr">
        <is>
          <t>B</t>
        </is>
      </c>
      <c r="E15" s="6" t="n">
        <v>100002159.2601167</v>
      </c>
      <c r="F15" s="6" t="n">
        <v>105306162.1077363</v>
      </c>
      <c r="G15" s="6" t="n">
        <v>5304002.847619672</v>
      </c>
      <c r="H15" s="6" t="n">
        <v>172735.4277329785</v>
      </c>
      <c r="I15" s="6" t="n">
        <v>0</v>
      </c>
      <c r="J15" s="6" t="n">
        <v>172735.4277329785</v>
      </c>
      <c r="K15" s="6" t="n">
        <v>0</v>
      </c>
      <c r="L15" s="6" t="n">
        <v>50410608.77727573</v>
      </c>
      <c r="M15" s="7" t="n">
        <v>1</v>
      </c>
      <c r="N15" s="6" t="n">
        <v>132795.5511744277</v>
      </c>
      <c r="O15" s="6" t="n">
        <v>132795.5511744277</v>
      </c>
      <c r="P15" s="6" t="n">
        <v>39939.87655855077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-99849.35275556908</v>
      </c>
      <c r="P16" s="6" t="n">
        <v>0</v>
      </c>
      <c r="Q16" s="6" t="n">
        <v>0</v>
      </c>
      <c r="R16" s="6" t="n">
        <v>99849.35275556908</v>
      </c>
      <c r="S16" t="inlineStr">
        <is>
          <t>sky-revenue reduction (no CoF; computed outside venue loop)</t>
        </is>
      </c>
    </row>
    <row r="17">
      <c r="A17" t="inlineStr">
        <is>
          <t>S27</t>
        </is>
      </c>
      <c r="B17" t="inlineStr">
        <is>
          <t>USDT raw (ALM idle — $442M as of 2026-04)</t>
        </is>
      </c>
      <c r="C17" t="inlineStr">
        <is>
          <t>ethereum</t>
        </is>
      </c>
      <c r="D17" t="inlineStr">
        <is>
          <t>A</t>
        </is>
      </c>
      <c r="E17" s="6" t="n">
        <v>0</v>
      </c>
      <c r="F17" s="6" t="n">
        <v>483436565.922284</v>
      </c>
      <c r="G17" s="6" t="n">
        <v>483436565.922284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16114552.19740947</v>
      </c>
      <c r="M17" s="7" t="n">
        <v>1</v>
      </c>
      <c r="N17" s="6" t="n">
        <v>42450.20825752704</v>
      </c>
      <c r="O17" s="6" t="n">
        <v>42450.20825752704</v>
      </c>
      <c r="P17" s="6" t="n">
        <v>-42450.20825752704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10156910.09323084</v>
      </c>
      <c r="F18" s="6" t="n">
        <v>0.28330096818</v>
      </c>
      <c r="G18" s="6" t="n">
        <v>-10156909.80992987</v>
      </c>
      <c r="H18" s="6" t="n">
        <v>18286.18338612959</v>
      </c>
      <c r="I18" s="6" t="n">
        <v>0</v>
      </c>
      <c r="J18" s="6" t="n">
        <v>18286.18338612959</v>
      </c>
      <c r="K18" s="6" t="n">
        <v>0</v>
      </c>
      <c r="L18" s="6" t="n">
        <v>7104351.295236039</v>
      </c>
      <c r="M18" s="7" t="n">
        <v>1</v>
      </c>
      <c r="N18" s="6" t="n">
        <v>18714.83540609234</v>
      </c>
      <c r="O18" s="6" t="n">
        <v>18714.83540609234</v>
      </c>
      <c r="P18" s="6" t="n">
        <v>-428.6520199627547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13171.38935587401</v>
      </c>
      <c r="O19" s="6" t="n">
        <v>13171.38935587401</v>
      </c>
      <c r="P19" s="6" t="n">
        <v>-13171.38935587401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4997775.722557</v>
      </c>
      <c r="F20" s="6" t="n">
        <v>5000000</v>
      </c>
      <c r="G20" s="6" t="n">
        <v>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4997849.865138433</v>
      </c>
      <c r="M20" s="7" t="n">
        <v>1</v>
      </c>
      <c r="N20" s="6" t="n">
        <v>13165.72530318814</v>
      </c>
      <c r="O20" s="6" t="n">
        <v>13165.72530318814</v>
      </c>
      <c r="P20" s="6" t="n">
        <v>-13165.72530318814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4987427.101210834</v>
      </c>
      <c r="M21" s="7" t="n">
        <v>1</v>
      </c>
      <c r="N21" s="6" t="n">
        <v>13138.26884681719</v>
      </c>
      <c r="O21" s="6" t="n">
        <v>13138.26884681719</v>
      </c>
      <c r="P21" s="6" t="n">
        <v>-13138.26884681719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50000879.85586481</v>
      </c>
      <c r="F22" s="6" t="n">
        <v>50002415.26289953</v>
      </c>
      <c r="G22" s="6" t="n">
        <v>1535.4070347212</v>
      </c>
      <c r="H22" s="6" t="n">
        <v>12598.4555305973</v>
      </c>
      <c r="I22" s="6" t="n">
        <v>103204.2172004009</v>
      </c>
      <c r="J22" s="6" t="n">
        <v>103204.2172004009</v>
      </c>
      <c r="K22" s="6" t="n">
        <v>12598.4555305973</v>
      </c>
      <c r="L22" s="6" t="n">
        <v>49997070.94700827</v>
      </c>
      <c r="M22" s="7" t="n">
        <v>0</v>
      </c>
      <c r="N22" s="6" t="n">
        <v>0</v>
      </c>
      <c r="O22" s="6" t="n">
        <v>12598.4555305973</v>
      </c>
      <c r="P22" s="6" t="n">
        <v>103204.2172004009</v>
      </c>
      <c r="Q22" s="6" t="n">
        <v>49997070.94700827</v>
      </c>
      <c r="R22" s="6" t="n">
        <v>0</v>
      </c>
      <c r="S22" t="inlineStr">
        <is>
          <t>SDE (fixed)</t>
        </is>
      </c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4461648.5934257</v>
      </c>
      <c r="M23" s="7" t="n">
        <v>1</v>
      </c>
      <c r="N23" s="6" t="n">
        <v>11753.2221586195</v>
      </c>
      <c r="O23" s="6" t="n">
        <v>11753.2221586195</v>
      </c>
      <c r="P23" s="6" t="n">
        <v>-11753.2221586195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977119.890305955</v>
      </c>
      <c r="F24" s="6" t="n">
        <v>704090.8045421393</v>
      </c>
      <c r="G24" s="6" t="n">
        <v>-273029.0857638157</v>
      </c>
      <c r="H24" s="6" t="n">
        <v>9546.424990317191</v>
      </c>
      <c r="I24" s="6" t="n">
        <v>0</v>
      </c>
      <c r="J24" s="6" t="n">
        <v>9546.424990317191</v>
      </c>
      <c r="K24" s="6" t="n">
        <v>0</v>
      </c>
      <c r="L24" s="6" t="n">
        <v>2903718.839188297</v>
      </c>
      <c r="M24" s="7" t="n">
        <v>1</v>
      </c>
      <c r="N24" s="6" t="n">
        <v>7649.202282187114</v>
      </c>
      <c r="O24" s="6" t="n">
        <v>7649.202282187114</v>
      </c>
      <c r="P24" s="6" t="n">
        <v>1897.222708130078</v>
      </c>
      <c r="Q24" s="6" t="n">
        <v>0</v>
      </c>
      <c r="R24" s="6" t="n">
        <v>0</v>
      </c>
      <c r="S24" t="inlineStr"/>
    </row>
    <row r="25">
      <c r="A25" t="inlineStr">
        <is>
          <t>S54</t>
        </is>
      </c>
      <c r="B25" t="inlineStr">
        <is>
          <t>Aave Avalanche USDC (aAvaUSDC)</t>
        </is>
      </c>
      <c r="C25" t="inlineStr">
        <is>
          <t>avalanche_c</t>
        </is>
      </c>
      <c r="D25" t="inlineStr">
        <is>
          <t>C</t>
        </is>
      </c>
      <c r="E25" s="6" t="n">
        <v>10000122.636328</v>
      </c>
      <c r="F25" s="6" t="n">
        <v>0.154431</v>
      </c>
      <c r="G25" s="6" t="n">
        <v>-10000122.481897</v>
      </c>
      <c r="H25" s="6" t="n">
        <v>4618.656125</v>
      </c>
      <c r="I25" s="6" t="n">
        <v>0</v>
      </c>
      <c r="J25" s="6" t="n">
        <v>4618.656125</v>
      </c>
      <c r="K25" s="6" t="n">
        <v>0</v>
      </c>
      <c r="L25" s="6" t="n">
        <v>2328579.222917333</v>
      </c>
      <c r="M25" s="7" t="n">
        <v>1</v>
      </c>
      <c r="N25" s="6" t="n">
        <v>6134.124718208548</v>
      </c>
      <c r="O25" s="6" t="n">
        <v>6134.124718208548</v>
      </c>
      <c r="P25" s="6" t="n">
        <v>-1515.468593208548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4497.433544839263</v>
      </c>
      <c r="I26" s="6" t="n">
        <v>0</v>
      </c>
      <c r="J26" s="6" t="n">
        <v>4497.433544839263</v>
      </c>
      <c r="K26" s="6" t="n">
        <v>0</v>
      </c>
      <c r="L26" s="6" t="n">
        <v>1097625.680429272</v>
      </c>
      <c r="M26" s="7" t="n">
        <v>1</v>
      </c>
      <c r="N26" s="6" t="n">
        <v>2891.451040788016</v>
      </c>
      <c r="O26" s="6" t="n">
        <v>2891.451040788016</v>
      </c>
      <c r="P26" s="6" t="n">
        <v>1605.982504051247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2580.174805680385</v>
      </c>
      <c r="O27" s="6" t="n">
        <v>2339.024206828183</v>
      </c>
      <c r="P27" s="6" t="n">
        <v>366.1114594971424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905.2343490059453</v>
      </c>
      <c r="O28" s="6" t="n">
        <v>905.2343490059453</v>
      </c>
      <c r="P28" s="6" t="n">
        <v>-779.8555130059452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351.6792869634149</v>
      </c>
      <c r="O29" s="6" t="n">
        <v>351.6792869634149</v>
      </c>
      <c r="P29" s="6" t="n">
        <v>-133851.3450769634</v>
      </c>
      <c r="Q29" s="6" t="n">
        <v>0</v>
      </c>
      <c r="R29" s="6" t="n">
        <v>0</v>
      </c>
      <c r="S29" t="inlineStr"/>
    </row>
    <row r="30">
      <c r="A30" t="inlineStr">
        <is>
          <t>S62</t>
        </is>
      </c>
      <c r="B30" t="inlineStr">
        <is>
          <t>Spark.fi USDT Reserve Uniswap V4 (USDT/USDS)</t>
        </is>
      </c>
      <c r="C30" t="inlineStr">
        <is>
          <t>ethereum</t>
        </is>
      </c>
      <c r="D30" t="inlineStr">
        <is>
          <t>F</t>
        </is>
      </c>
      <c r="E30" s="6" t="n">
        <v>220006.9469428827</v>
      </c>
      <c r="F30" s="6" t="n">
        <v>219995.8104343477</v>
      </c>
      <c r="G30" s="6" t="n">
        <v>-11.1365085349426</v>
      </c>
      <c r="H30" s="6" t="n">
        <v>-11.1365085349426</v>
      </c>
      <c r="I30" s="6" t="n">
        <v>0</v>
      </c>
      <c r="J30" s="6" t="n">
        <v>0</v>
      </c>
      <c r="K30" s="6" t="n">
        <v>-11.1365085349426</v>
      </c>
      <c r="L30" s="6" t="n">
        <v>220006.9469428827</v>
      </c>
      <c r="M30" s="7" t="n">
        <v>0</v>
      </c>
      <c r="N30" s="6" t="n">
        <v>0</v>
      </c>
      <c r="O30" s="6" t="n">
        <v>-11.1365085349426</v>
      </c>
      <c r="P30" s="6" t="n">
        <v>0</v>
      </c>
      <c r="Q30" s="6" t="n">
        <v>220006.9469428827</v>
      </c>
      <c r="R30" s="6" t="n">
        <v>0</v>
      </c>
      <c r="S30" t="inlineStr">
        <is>
          <t>SDE (fixed)</t>
        </is>
      </c>
    </row>
    <row r="31">
      <c r="A31" t="inlineStr">
        <is>
          <t>S26</t>
        </is>
      </c>
      <c r="B31" t="inlineStr">
        <is>
          <t>USDC raw (ALM idle)</t>
        </is>
      </c>
      <c r="C31" t="inlineStr">
        <is>
          <t>ethereum</t>
        </is>
      </c>
      <c r="D31" t="inlineStr">
        <is>
          <t>A</t>
        </is>
      </c>
      <c r="E31" s="6" t="n">
        <v>0</v>
      </c>
      <c r="F31" s="6" t="n">
        <v>0</v>
      </c>
      <c r="G31" s="6" t="n">
        <v>0</v>
      </c>
      <c r="H31" s="6" t="n">
        <v>-1.4761558479e-08</v>
      </c>
      <c r="I31" s="6" t="n">
        <v>0</v>
      </c>
      <c r="J31" s="6" t="n">
        <v>-1.4761558479e-08</v>
      </c>
      <c r="K31" s="6" t="n">
        <v>0</v>
      </c>
      <c r="L31" s="6" t="n">
        <v>3222.097566510731</v>
      </c>
      <c r="M31" s="7" t="n">
        <v>1</v>
      </c>
      <c r="N31" s="6" t="n">
        <v>8.487900318225398</v>
      </c>
      <c r="O31" s="6" t="n">
        <v>8.487900318225398</v>
      </c>
      <c r="P31" s="6" t="n">
        <v>-8.487900332986957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1.001548975927208</v>
      </c>
      <c r="O32" s="6" t="n">
        <v>1.001548975927208</v>
      </c>
      <c r="P32" s="6" t="n">
        <v>13.12753726147943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0.7478642403442537</v>
      </c>
      <c r="O33" s="6" t="n">
        <v>0.7478642403442537</v>
      </c>
      <c r="P33" s="6" t="n">
        <v>-0.7478642403442537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0.2612411100429492</v>
      </c>
      <c r="O34" s="6" t="n">
        <v>0.2612411100429492</v>
      </c>
      <c r="P34" s="6" t="n">
        <v>0.07013893708409073</v>
      </c>
      <c r="Q34" s="6" t="n">
        <v>0</v>
      </c>
      <c r="R34" s="6" t="n">
        <v>0</v>
      </c>
      <c r="S34" t="inlineStr"/>
    </row>
    <row r="35">
      <c r="A35" t="inlineStr">
        <is>
          <t>S55</t>
        </is>
      </c>
      <c r="B35" t="inlineStr">
        <is>
          <t>USDC raw (Avalanche-C — ALM idle)</t>
        </is>
      </c>
      <c r="C35" t="inlineStr">
        <is>
          <t>avalanche_c</t>
        </is>
      </c>
      <c r="D35" t="inlineStr">
        <is>
          <t>A</t>
        </is>
      </c>
      <c r="E35" s="6" t="n">
        <v>10.263802</v>
      </c>
      <c r="F35" s="6" t="n">
        <v>2500.221225</v>
      </c>
      <c r="G35" s="6" t="n">
        <v>2489.957423</v>
      </c>
      <c r="H35" s="6" t="n">
        <v>0</v>
      </c>
      <c r="I35" s="6" t="n">
        <v>0</v>
      </c>
      <c r="J35" s="6" t="n">
        <v>0</v>
      </c>
      <c r="K35" s="6" t="n">
        <v>0</v>
      </c>
      <c r="L35" s="6" t="n">
        <v>93.26238276666666</v>
      </c>
      <c r="M35" s="7" t="n">
        <v>1</v>
      </c>
      <c r="N35" s="6" t="n">
        <v>0.2456790311352642</v>
      </c>
      <c r="O35" s="6" t="n">
        <v>0.2456790311352642</v>
      </c>
      <c r="P35" s="6" t="n">
        <v>-0.2456790311352642</v>
      </c>
      <c r="Q35" s="6" t="n">
        <v>0</v>
      </c>
      <c r="R35" s="6" t="n">
        <v>0</v>
      </c>
      <c r="S35" t="inlineStr"/>
    </row>
    <row r="36">
      <c r="A36" t="inlineStr">
        <is>
          <t>S61</t>
        </is>
      </c>
      <c r="B36" t="inlineStr">
        <is>
          <t>Spark.fi PYUSD Reserve Uniswap V4 (PYUSD/USDS)</t>
        </is>
      </c>
      <c r="C36" t="inlineStr">
        <is>
          <t>ethereum</t>
        </is>
      </c>
      <c r="D36" t="inlineStr">
        <is>
          <t>F</t>
        </is>
      </c>
      <c r="E36" s="6" t="n">
        <v>220002.4647086113</v>
      </c>
      <c r="F36" s="6" t="n">
        <v>220002.7079018081</v>
      </c>
      <c r="G36" s="6" t="n">
        <v>0.2431931968307834</v>
      </c>
      <c r="H36" s="6" t="n">
        <v>0.2431931968307834</v>
      </c>
      <c r="I36" s="6" t="n">
        <v>0</v>
      </c>
      <c r="J36" s="6" t="n">
        <v>0</v>
      </c>
      <c r="K36" s="6" t="n">
        <v>0.2431931968307834</v>
      </c>
      <c r="L36" s="6" t="n">
        <v>220002.4647086113</v>
      </c>
      <c r="M36" s="7" t="n">
        <v>0</v>
      </c>
      <c r="N36" s="6" t="n">
        <v>0</v>
      </c>
      <c r="O36" s="6" t="n">
        <v>0.2431931968307834</v>
      </c>
      <c r="P36" s="6" t="n">
        <v>0</v>
      </c>
      <c r="Q36" s="6" t="n">
        <v>220002.4647086113</v>
      </c>
      <c r="R36" s="6" t="n">
        <v>0</v>
      </c>
      <c r="S36" t="inlineStr">
        <is>
          <t>SDE (fixed)</t>
        </is>
      </c>
    </row>
    <row r="37">
      <c r="A37" t="inlineStr">
        <is>
          <t>S13</t>
        </is>
      </c>
      <c r="B37" t="inlineStr">
        <is>
          <t>Spark USDS Vault (Morpho)</t>
        </is>
      </c>
      <c r="C37" t="inlineStr">
        <is>
          <t>ethereum</t>
        </is>
      </c>
      <c r="D37" t="inlineStr">
        <is>
          <t>B</t>
        </is>
      </c>
      <c r="E37" s="6" t="n">
        <v>21.9066008120297</v>
      </c>
      <c r="F37" s="6" t="n">
        <v>21.90660666972937</v>
      </c>
      <c r="G37" s="6" t="n">
        <v>5.857699675505699e-06</v>
      </c>
      <c r="H37" s="6" t="n">
        <v>5.857699675505699e-06</v>
      </c>
      <c r="I37" s="6" t="n">
        <v>0</v>
      </c>
      <c r="J37" s="6" t="n">
        <v>5.857699675505699e-06</v>
      </c>
      <c r="K37" s="6" t="n">
        <v>0</v>
      </c>
      <c r="L37" s="6" t="n">
        <v>21.9066008120297</v>
      </c>
      <c r="M37" s="7" t="n">
        <v>1</v>
      </c>
      <c r="N37" s="6" t="n">
        <v>0.05770807375178978</v>
      </c>
      <c r="O37" s="6" t="n">
        <v>0.05770807375178978</v>
      </c>
      <c r="P37" s="6" t="n">
        <v>-0.05770221605211427</v>
      </c>
      <c r="Q37" s="6" t="n">
        <v>0</v>
      </c>
      <c r="R37" s="6" t="n">
        <v>0</v>
      </c>
      <c r="S37" t="inlineStr"/>
    </row>
    <row r="38">
      <c r="A38" t="inlineStr">
        <is>
          <t>S8</t>
        </is>
      </c>
      <c r="B38" t="inlineStr">
        <is>
          <t>Aave Ethereum USDC (aToken)</t>
        </is>
      </c>
      <c r="C38" t="inlineStr">
        <is>
          <t>ethereum</t>
        </is>
      </c>
      <c r="D38" t="inlineStr">
        <is>
          <t>C</t>
        </is>
      </c>
      <c r="E38" s="6" t="n">
        <v>0.05756</v>
      </c>
      <c r="F38" s="6" t="n">
        <v>0.057783</v>
      </c>
      <c r="G38" s="6" t="n">
        <v>0.000223</v>
      </c>
      <c r="H38" s="6" t="n">
        <v>0.000223</v>
      </c>
      <c r="I38" s="6" t="n">
        <v>0</v>
      </c>
      <c r="J38" s="6" t="n">
        <v>0.000223</v>
      </c>
      <c r="K38" s="6" t="n">
        <v>0</v>
      </c>
      <c r="L38" s="6" t="n">
        <v>0.05756</v>
      </c>
      <c r="M38" s="7" t="n">
        <v>1</v>
      </c>
      <c r="N38" s="6" t="n">
        <v>0.0001516290342648216</v>
      </c>
      <c r="O38" s="6" t="n">
        <v>0.0001516290342648216</v>
      </c>
      <c r="P38" s="6" t="n">
        <v>7.137096573517839e-05</v>
      </c>
      <c r="Q38" s="6" t="n">
        <v>0</v>
      </c>
      <c r="R38" s="6" t="n">
        <v>0</v>
      </c>
      <c r="S38" t="inlineStr"/>
    </row>
    <row r="39">
      <c r="A39" t="inlineStr">
        <is>
          <t>S41</t>
        </is>
      </c>
      <c r="B39" t="inlineStr">
        <is>
          <t>Aave Arbitrum USDCn (aArbUSDCn)</t>
        </is>
      </c>
      <c r="C39" t="inlineStr">
        <is>
          <t>arbitrum</t>
        </is>
      </c>
      <c r="D39" t="inlineStr">
        <is>
          <t>C</t>
        </is>
      </c>
      <c r="E39" s="6" t="n">
        <v>0.006327</v>
      </c>
      <c r="F39" s="6" t="n">
        <v>0.006346</v>
      </c>
      <c r="G39" s="6" t="n">
        <v>1.9e-05</v>
      </c>
      <c r="H39" s="6" t="n">
        <v>1.9e-05</v>
      </c>
      <c r="I39" s="6" t="n">
        <v>0</v>
      </c>
      <c r="J39" s="6" t="n">
        <v>1.9e-05</v>
      </c>
      <c r="K39" s="6" t="n">
        <v>0</v>
      </c>
      <c r="L39" s="6" t="n">
        <v>0.006327</v>
      </c>
      <c r="M39" s="7" t="n">
        <v>1</v>
      </c>
      <c r="N39" s="6" t="n">
        <v>1.666707609092297e-05</v>
      </c>
      <c r="O39" s="6" t="n">
        <v>1.666707609092297e-05</v>
      </c>
      <c r="P39" s="6" t="n">
        <v>2.332923909077027e-06</v>
      </c>
      <c r="Q39" s="6" t="n">
        <v>0</v>
      </c>
      <c r="R39" s="6" t="n">
        <v>0</v>
      </c>
      <c r="S39" t="inlineStr"/>
    </row>
    <row r="40">
      <c r="A40" t="inlineStr">
        <is>
          <t>S7</t>
        </is>
      </c>
      <c r="B40" t="inlineStr">
        <is>
          <t>Aave Ethereum USDS (aToken)</t>
        </is>
      </c>
      <c r="C40" t="inlineStr">
        <is>
          <t>ethereum</t>
        </is>
      </c>
      <c r="D40" t="inlineStr">
        <is>
          <t>C</t>
        </is>
      </c>
      <c r="E40" s="6" t="n">
        <v>0.005741176637971351</v>
      </c>
      <c r="F40" s="6" t="n">
        <v>0.005744283090097436</v>
      </c>
      <c r="G40" s="6" t="n">
        <v>3.106452126085e-06</v>
      </c>
      <c r="H40" s="6" t="n">
        <v>3.106452126085e-06</v>
      </c>
      <c r="I40" s="6" t="n">
        <v>0</v>
      </c>
      <c r="J40" s="6" t="n">
        <v>3.106452126085e-06</v>
      </c>
      <c r="K40" s="6" t="n">
        <v>0</v>
      </c>
      <c r="L40" s="6" t="n">
        <v>0.005741176637971351</v>
      </c>
      <c r="M40" s="7" t="n">
        <v>1</v>
      </c>
      <c r="N40" s="6" t="n">
        <v>1.512385457191368e-05</v>
      </c>
      <c r="O40" s="6" t="n">
        <v>1.512385457191368e-05</v>
      </c>
      <c r="P40" s="6" t="n">
        <v>-1.201740244582868e-05</v>
      </c>
      <c r="Q40" s="6" t="n">
        <v>0</v>
      </c>
      <c r="R40" s="6" t="n">
        <v>0</v>
      </c>
      <c r="S40" t="inlineStr"/>
    </row>
    <row r="41">
      <c r="A41" t="inlineStr">
        <is>
          <t>S35</t>
        </is>
      </c>
      <c r="B41" t="inlineStr">
        <is>
          <t>Aave Base USDC (aBasUSDC)</t>
        </is>
      </c>
      <c r="C41" t="inlineStr">
        <is>
          <t>base</t>
        </is>
      </c>
      <c r="D41" t="inlineStr">
        <is>
          <t>C</t>
        </is>
      </c>
      <c r="E41" s="6" t="n">
        <v>0.001696</v>
      </c>
      <c r="F41" s="6" t="n">
        <v>0.0017</v>
      </c>
      <c r="G41" s="6" t="n">
        <v>4e-06</v>
      </c>
      <c r="H41" s="6" t="n">
        <v>4e-06</v>
      </c>
      <c r="I41" s="6" t="n">
        <v>0</v>
      </c>
      <c r="J41" s="6" t="n">
        <v>4e-06</v>
      </c>
      <c r="K41" s="6" t="n">
        <v>0</v>
      </c>
      <c r="L41" s="6" t="n">
        <v>0.001696</v>
      </c>
      <c r="M41" s="7" t="n">
        <v>1</v>
      </c>
      <c r="N41" s="6" t="n">
        <v>4.467735269512465e-06</v>
      </c>
      <c r="O41" s="6" t="n">
        <v>4.467735269512465e-06</v>
      </c>
      <c r="P41" s="6" t="n">
        <v>-4.677352695124644e-07</v>
      </c>
      <c r="Q41" s="6" t="n">
        <v>0</v>
      </c>
      <c r="R41" s="6" t="n">
        <v>0</v>
      </c>
      <c r="S41" t="inlineStr"/>
    </row>
    <row r="42">
      <c r="A42" t="inlineStr">
        <is>
          <t>S17</t>
        </is>
      </c>
      <c r="B42" t="inlineStr">
        <is>
          <t>Fluid Savings USDS (fsUSDS)</t>
        </is>
      </c>
      <c r="C42" t="inlineStr">
        <is>
          <t>ethereum</t>
        </is>
      </c>
      <c r="D42" t="inlineStr">
        <is>
          <t>B</t>
        </is>
      </c>
      <c r="E42" s="6" t="n">
        <v>0.001240144670509943</v>
      </c>
      <c r="F42" s="6" t="n">
        <v>0.001240144670509943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0.001240144670509943</v>
      </c>
      <c r="M42" s="7" t="n">
        <v>1</v>
      </c>
      <c r="N42" s="6" t="n">
        <v>3.26688566257971e-06</v>
      </c>
      <c r="O42" s="6" t="n">
        <v>3.26688566257971e-06</v>
      </c>
      <c r="P42" s="6" t="n">
        <v>-3.26688566257971e-06</v>
      </c>
      <c r="Q42" s="6" t="n">
        <v>0</v>
      </c>
      <c r="R42" s="6" t="n">
        <v>0</v>
      </c>
      <c r="S42" t="inlineStr"/>
    </row>
    <row r="43">
      <c r="A43" t="inlineStr">
        <is>
          <t>S6</t>
        </is>
      </c>
      <c r="B43" t="inlineStr">
        <is>
          <t>Aave Ethereum Lido USDS (aToken)</t>
        </is>
      </c>
      <c r="C43" t="inlineStr">
        <is>
          <t>ethereum</t>
        </is>
      </c>
      <c r="D43" t="inlineStr">
        <is>
          <t>C</t>
        </is>
      </c>
      <c r="E43" s="6" t="n">
        <v>0.000520158110250329</v>
      </c>
      <c r="F43" s="6" t="n">
        <v>0.0005209665645060241</v>
      </c>
      <c r="G43" s="6" t="n">
        <v>8.08454255695e-07</v>
      </c>
      <c r="H43" s="6" t="n">
        <v>8.08454255695e-07</v>
      </c>
      <c r="I43" s="6" t="n">
        <v>0</v>
      </c>
      <c r="J43" s="6" t="n">
        <v>8.08454255695e-07</v>
      </c>
      <c r="K43" s="6" t="n">
        <v>0</v>
      </c>
      <c r="L43" s="6" t="n">
        <v>0.000520158110250329</v>
      </c>
      <c r="M43" s="7" t="n">
        <v>1</v>
      </c>
      <c r="N43" s="6" t="n">
        <v>1.370240999344545e-06</v>
      </c>
      <c r="O43" s="6" t="n">
        <v>1.370240999344545e-06</v>
      </c>
      <c r="P43" s="6" t="n">
        <v>-5.617867436495447e-07</v>
      </c>
      <c r="Q43" s="6" t="n">
        <v>0</v>
      </c>
      <c r="R43" s="6" t="n">
        <v>0</v>
      </c>
      <c r="S43" t="inlineStr"/>
    </row>
    <row r="44">
      <c r="A44" t="inlineStr">
        <is>
          <t>S30</t>
        </is>
      </c>
      <c r="B44" t="inlineStr">
        <is>
          <t>USDe raw (ALM idle)</t>
        </is>
      </c>
      <c r="C44" t="inlineStr">
        <is>
          <t>ethereum</t>
        </is>
      </c>
      <c r="D44" t="inlineStr">
        <is>
          <t>A</t>
        </is>
      </c>
      <c r="E44" s="6" t="n">
        <v>7.4896275897803e-05</v>
      </c>
      <c r="F44" s="6" t="n">
        <v>7.4896275897803e-05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7.4896275897803e-05</v>
      </c>
      <c r="M44" s="7" t="n">
        <v>1</v>
      </c>
      <c r="N44" s="6" t="n">
        <v>1.972976022309851e-07</v>
      </c>
      <c r="O44" s="6" t="n">
        <v>1.972976022309851e-07</v>
      </c>
      <c r="P44" s="6" t="n">
        <v>-1.972976022309851e-07</v>
      </c>
      <c r="Q44" s="6" t="n">
        <v>0</v>
      </c>
      <c r="R44" s="6" t="n">
        <v>0</v>
      </c>
      <c r="S44" t="inlineStr"/>
    </row>
    <row r="45">
      <c r="A45" t="inlineStr">
        <is>
          <t>S19</t>
        </is>
      </c>
      <c r="B45" t="inlineStr">
        <is>
          <t>BlackRock USD Institutional Digital Liquidity Fund (BUIDL-I)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S20</t>
        </is>
      </c>
      <c r="B46" t="inlineStr">
        <is>
          <t>Janus Henderson Anemoy Treasury Fund (JTRSY)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S21</t>
        </is>
      </c>
      <c r="B47" t="inlineStr">
        <is>
          <t>Superstate Short Duration US Government Securities Fund (USTB)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SDE (fixed)</t>
        </is>
      </c>
    </row>
    <row r="48">
      <c r="A48" t="inlineStr">
        <is>
          <t>S22</t>
        </is>
      </c>
      <c r="B48" t="inlineStr">
        <is>
          <t>Superstate Crypto Carry Fund (USCC)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456780102.344065</v>
      </c>
      <c r="F60" s="6" t="n">
        <v>573332157.534611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867900893.337617</v>
      </c>
      <c r="F61" s="6" t="n">
        <v>1134703231.016836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504861.558051</v>
      </c>
      <c r="F62" s="6" t="n">
        <v>1066559.875133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73619968.24222299</v>
      </c>
      <c r="F63" s="6" t="n">
        <v>37138817.432463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2988366178.220075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1988366178.220075</v>
      </c>
    </row>
    <row r="8">
      <c r="A8" t="inlineStr">
        <is>
          <t>Base rate (BR = SSR + 30bps), period avg</t>
        </is>
      </c>
      <c r="B8" s="7" t="n">
        <v>0.04028621393822291</v>
      </c>
    </row>
    <row r="9">
      <c r="A9" t="inlineStr">
        <is>
          <t>Reference rate (tbill_3m), period avg</t>
        </is>
      </c>
      <c r="B9" s="7" t="n">
        <v>0.03696666666666667</v>
      </c>
    </row>
    <row r="10">
      <c r="A10" t="inlineStr">
        <is>
          <t>Subsidised rate (BR*), period avg</t>
        </is>
      </c>
      <c r="B10" s="7" t="n">
        <v>0.03738478373622021</v>
      </c>
    </row>
    <row r="11">
      <c r="A11" s="8" t="inlineStr">
        <is>
          <t>Effective blended rate charged</t>
        </is>
      </c>
      <c r="B11" s="10" t="n">
        <v>0.03930680936986507</v>
      </c>
    </row>
    <row r="12">
      <c r="A12" s="8" t="inlineStr">
        <is>
          <t>Diff vs base rate (bps)</t>
        </is>
      </c>
      <c r="B12" s="11" t="n">
        <v>-9.79404568357833</v>
      </c>
    </row>
    <row r="13">
      <c r="A13" s="8" t="inlineStr">
        <is>
          <t>Subsidy benefit to prime (USD)</t>
        </is>
      </c>
      <c r="B13" s="12" t="n">
        <v>231581.7482478888</v>
      </c>
    </row>
    <row r="15">
      <c r="A15" t="inlineStr">
        <is>
          <t>CoF at full base rate (no subsidy)</t>
        </is>
      </c>
      <c r="B15" s="3" t="n">
        <v>9701444.124867398</v>
      </c>
    </row>
    <row r="16">
      <c r="A16" t="inlineStr">
        <is>
          <t xml:space="preserve">  − actual CoF (subsidy on first tranche)</t>
        </is>
      </c>
      <c r="B16" s="3" t="n">
        <v>9469862.376619508</v>
      </c>
    </row>
    <row r="17">
      <c r="A17" s="8" t="inlineStr">
        <is>
          <t xml:space="preserve">  = subsidy benefit</t>
        </is>
      </c>
      <c r="B17" s="12" t="n">
        <v>231581.7482478888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3016828.853729559</v>
      </c>
    </row>
    <row r="21">
      <c r="A21" t="inlineStr">
        <is>
          <t>Excess (&gt; cap)</t>
        </is>
      </c>
      <c r="B21" s="6" t="n">
        <v>1988366178.220075</v>
      </c>
      <c r="C21" s="3" t="n">
        <v>6453033.52288995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9290941.403556865</v>
      </c>
    </row>
    <row r="25">
      <c r="A25" t="inlineStr">
        <is>
          <t>+ Sky-Direct revenue (full venue yield on fixed/capped SDE)</t>
        </is>
      </c>
      <c r="B25" s="3" t="n">
        <v>12587.56221525919</v>
      </c>
    </row>
    <row r="26">
      <c r="A26" t="inlineStr">
        <is>
          <t>equals sky_revenue (total Sky take this month)</t>
        </is>
      </c>
      <c r="B26" s="3" t="n">
        <v>9303528.965772124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11739793.0862701</v>
      </c>
    </row>
    <row r="31">
      <c r="A31" t="inlineStr">
        <is>
          <t xml:space="preserve">    ↳ actual CoF on Net_Subs (BR × utilized)</t>
        </is>
      </c>
      <c r="B31" s="3" t="n">
        <v>9290941.403556865</v>
      </c>
    </row>
    <row r="32">
      <c r="A32" t="inlineStr">
        <is>
          <t xml:space="preserve">    ↳ reduction from idle/SDE deductions</t>
        </is>
      </c>
      <c r="B32" s="3" t="n">
        <v>-2448851.682713232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0.2431931968307834</v>
      </c>
      <c r="J6" s="6" t="n">
        <v>0.2431931968307834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-11.1365085349426</v>
      </c>
      <c r="J7" s="6" t="n">
        <v>-11.1365085349426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84160428.00919972</v>
      </c>
      <c r="F6" s="6" t="n">
        <v>81239757.97065578</v>
      </c>
      <c r="G6" s="6" t="n">
        <v>130060790.0037368</v>
      </c>
      <c r="H6" s="6" t="n">
        <v>2783852546.659347</v>
      </c>
      <c r="I6" s="7" t="n">
        <v>0.03750000355548933</v>
      </c>
      <c r="J6" s="7" t="n">
        <v>0.04061250356615579</v>
      </c>
      <c r="K6" t="n">
        <v>3</v>
      </c>
      <c r="L6" s="7" t="n">
        <v>0.037</v>
      </c>
      <c r="M6" s="7" t="n">
        <v>0.03745156294576948</v>
      </c>
      <c r="N6" s="3" t="n">
        <v>295307.5686209331</v>
      </c>
      <c r="O6" s="3" t="n">
        <v>375965.6496487203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81298220.43761531</v>
      </c>
      <c r="F7" s="6" t="n">
        <v>76011072.11242218</v>
      </c>
      <c r="G7" s="6" t="n">
        <v>123404206.9728645</v>
      </c>
      <c r="H7" s="6" t="n">
        <v>2867217514.350302</v>
      </c>
      <c r="I7" s="7" t="n">
        <v>0.03750000355548933</v>
      </c>
      <c r="J7" s="7" t="n">
        <v>0.04061250356615579</v>
      </c>
      <c r="K7" t="n">
        <v>3</v>
      </c>
      <c r="L7" s="7" t="n">
        <v>0.037</v>
      </c>
      <c r="M7" s="7" t="n">
        <v>0.03745156294576948</v>
      </c>
      <c r="N7" s="3" t="n">
        <v>304400.4383823129</v>
      </c>
      <c r="O7" s="3" t="n">
        <v>383458.4310567391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76350330.16833378</v>
      </c>
      <c r="F8" s="6" t="n">
        <v>75928052.36207461</v>
      </c>
      <c r="G8" s="6" t="n">
        <v>123411196.5267537</v>
      </c>
      <c r="H8" s="6" t="n">
        <v>2874855502.691253</v>
      </c>
      <c r="I8" s="7" t="n">
        <v>0.03750000355548933</v>
      </c>
      <c r="J8" s="7" t="n">
        <v>0.04061250356615579</v>
      </c>
      <c r="K8" t="n">
        <v>3</v>
      </c>
      <c r="L8" s="7" t="n">
        <v>0.0371</v>
      </c>
      <c r="M8" s="7" t="n">
        <v>0.03753906294576947</v>
      </c>
      <c r="N8" s="3" t="n">
        <v>305464.6225049944</v>
      </c>
      <c r="O8" s="3" t="n">
        <v>383971.5981848335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83779654.8388468</v>
      </c>
      <c r="F9" s="6" t="n">
        <v>75893095.51486818</v>
      </c>
      <c r="G9" s="6" t="n">
        <v>123405060.7543267</v>
      </c>
      <c r="H9" s="6" t="n">
        <v>2872189208.453927</v>
      </c>
      <c r="I9" s="7" t="n">
        <v>0.03750000355548933</v>
      </c>
      <c r="J9" s="7" t="n">
        <v>0.04061250356615579</v>
      </c>
      <c r="K9" t="n">
        <v>3</v>
      </c>
      <c r="L9" s="7" t="n">
        <v>0.0371</v>
      </c>
      <c r="M9" s="7" t="n">
        <v>0.03753906294576947</v>
      </c>
      <c r="N9" s="3" t="n">
        <v>305173.8017091968</v>
      </c>
      <c r="O9" s="3" t="n">
        <v>384488.61134693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86806841.8404364</v>
      </c>
      <c r="F10" s="6" t="n">
        <v>74636086.29818742</v>
      </c>
      <c r="G10" s="6" t="n">
        <v>123403918.716754</v>
      </c>
      <c r="H10" s="6" t="n">
        <v>2879224844.541521</v>
      </c>
      <c r="I10" s="7" t="n">
        <v>0.03750000355548933</v>
      </c>
      <c r="J10" s="7" t="n">
        <v>0.04061250356615579</v>
      </c>
      <c r="K10" t="n">
        <v>3</v>
      </c>
      <c r="L10" s="7" t="n">
        <v>0.0371</v>
      </c>
      <c r="M10" s="7" t="n">
        <v>0.03753906294576947</v>
      </c>
      <c r="N10" s="3" t="n">
        <v>305941.1998670191</v>
      </c>
      <c r="O10" s="3" t="n">
        <v>385449.3721848478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55735869.73527548</v>
      </c>
      <c r="F11" s="6" t="n">
        <v>74586331.02769235</v>
      </c>
      <c r="G11" s="6" t="n">
        <v>112927513.3486385</v>
      </c>
      <c r="H11" s="6" t="n">
        <v>2914465341.130626</v>
      </c>
      <c r="I11" s="7" t="n">
        <v>0.03750000355548933</v>
      </c>
      <c r="J11" s="7" t="n">
        <v>0.04061250356615579</v>
      </c>
      <c r="K11" t="n">
        <v>3</v>
      </c>
      <c r="L11" s="7" t="n">
        <v>0.0372</v>
      </c>
      <c r="M11" s="7" t="n">
        <v>0.03762656294576947</v>
      </c>
      <c r="N11" s="3" t="n">
        <v>310016.0538120978</v>
      </c>
      <c r="O11" s="3" t="n">
        <v>384999.5791326266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79336065.29467803</v>
      </c>
      <c r="F12" s="6" t="n">
        <v>77268285.11342053</v>
      </c>
      <c r="G12" s="6" t="n">
        <v>111032090.9637735</v>
      </c>
      <c r="H12" s="6" t="n">
        <v>2902246750.621908</v>
      </c>
      <c r="I12" s="7" t="n">
        <v>0.03750000355548933</v>
      </c>
      <c r="J12" s="7" t="n">
        <v>0.04061250356615579</v>
      </c>
      <c r="K12" t="n">
        <v>3</v>
      </c>
      <c r="L12" s="7" t="n">
        <v>0.0371</v>
      </c>
      <c r="M12" s="7" t="n">
        <v>0.03753906294576947</v>
      </c>
      <c r="N12" s="3" t="n">
        <v>308452.2689580997</v>
      </c>
      <c r="O12" s="3" t="n">
        <v>386102.6298351255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56886236.73001598</v>
      </c>
      <c r="F13" s="6" t="n">
        <v>74733377.00458194</v>
      </c>
      <c r="G13" s="6" t="n">
        <v>106296252.8520661</v>
      </c>
      <c r="H13" s="6" t="n">
        <v>2907146310.332771</v>
      </c>
      <c r="I13" s="7" t="n">
        <v>0.03750000355548933</v>
      </c>
      <c r="J13" s="7" t="n">
        <v>0.04061250356615579</v>
      </c>
      <c r="K13" t="n">
        <v>3</v>
      </c>
      <c r="L13" s="7" t="n">
        <v>0.0369</v>
      </c>
      <c r="M13" s="7" t="n">
        <v>0.03736406294576947</v>
      </c>
      <c r="N13" s="3" t="n">
        <v>308524.4881951632</v>
      </c>
      <c r="O13" s="3" t="n">
        <v>382931.4703064028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54395587.57499404</v>
      </c>
      <c r="F14" s="6" t="n">
        <v>78975186.58280288</v>
      </c>
      <c r="G14" s="6" t="n">
        <v>106289452.9998598</v>
      </c>
      <c r="H14" s="6" t="n">
        <v>2904952367.705979</v>
      </c>
      <c r="I14" s="7" t="n">
        <v>0.03750000355548933</v>
      </c>
      <c r="J14" s="7" t="n">
        <v>0.04061250356615579</v>
      </c>
      <c r="K14" t="n">
        <v>3</v>
      </c>
      <c r="L14" s="7" t="n">
        <v>0.0368</v>
      </c>
      <c r="M14" s="7" t="n">
        <v>0.03727656294576948</v>
      </c>
      <c r="N14" s="3" t="n">
        <v>308054.0637648579</v>
      </c>
      <c r="O14" s="3" t="n">
        <v>382657.8370471034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51259235.19849242</v>
      </c>
      <c r="F15" s="6" t="n">
        <v>75499611.29075068</v>
      </c>
      <c r="G15" s="6" t="n">
        <v>106318077.1275745</v>
      </c>
      <c r="H15" s="6" t="n">
        <v>2904861379.159712</v>
      </c>
      <c r="I15" s="7" t="n">
        <v>0.03750000355548933</v>
      </c>
      <c r="J15" s="7" t="n">
        <v>0.04061250356615579</v>
      </c>
      <c r="K15" t="n">
        <v>3</v>
      </c>
      <c r="L15" s="7" t="n">
        <v>0.0369</v>
      </c>
      <c r="M15" s="7" t="n">
        <v>0.03736406294576947</v>
      </c>
      <c r="N15" s="3" t="n">
        <v>308275.2638249533</v>
      </c>
      <c r="O15" s="3" t="n">
        <v>382155.9892796133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51334636.13208666</v>
      </c>
      <c r="F16" s="6" t="n">
        <v>73829781.30064061</v>
      </c>
      <c r="G16" s="6" t="n">
        <v>106356377.8226287</v>
      </c>
      <c r="H16" s="6" t="n">
        <v>2898145060.218309</v>
      </c>
      <c r="I16" s="7" t="n">
        <v>0.03750000355548933</v>
      </c>
      <c r="J16" s="7" t="n">
        <v>0.04061250356615579</v>
      </c>
      <c r="K16" t="n">
        <v>3</v>
      </c>
      <c r="L16" s="7" t="n">
        <v>0.0369</v>
      </c>
      <c r="M16" s="7" t="n">
        <v>0.03736406294576947</v>
      </c>
      <c r="N16" s="3" t="n">
        <v>307542.6945563313</v>
      </c>
      <c r="O16" s="3" t="n">
        <v>381257.3217712304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52179667.35163317</v>
      </c>
      <c r="F17" s="6" t="n">
        <v>71606519.76113771</v>
      </c>
      <c r="G17" s="6" t="n">
        <v>106336984.9487036</v>
      </c>
      <c r="H17" s="6" t="n">
        <v>2970699955.683833</v>
      </c>
      <c r="I17" s="7" t="n">
        <v>0.03750000355548933</v>
      </c>
      <c r="J17" s="7" t="n">
        <v>0.04061250356615579</v>
      </c>
      <c r="K17" t="n">
        <v>3</v>
      </c>
      <c r="L17" s="7" t="n">
        <v>0.0369</v>
      </c>
      <c r="M17" s="7" t="n">
        <v>0.03736406294576947</v>
      </c>
      <c r="N17" s="3" t="n">
        <v>315456.4769674785</v>
      </c>
      <c r="O17" s="3" t="n">
        <v>389019.2016638957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50727024.80344096</v>
      </c>
      <c r="F18" s="6" t="n">
        <v>69752778.95967042</v>
      </c>
      <c r="G18" s="6" t="n">
        <v>106485554.4875584</v>
      </c>
      <c r="H18" s="6" t="n">
        <v>2788851992.468917</v>
      </c>
      <c r="I18" s="7" t="n">
        <v>0.03750000355548933</v>
      </c>
      <c r="J18" s="7" t="n">
        <v>0.04061250356615579</v>
      </c>
      <c r="K18" t="n">
        <v>3</v>
      </c>
      <c r="L18" s="7" t="n">
        <v>0.0371</v>
      </c>
      <c r="M18" s="7" t="n">
        <v>0.03753906294576947</v>
      </c>
      <c r="N18" s="3" t="n">
        <v>296083.9589105186</v>
      </c>
      <c r="O18" s="3" t="n">
        <v>369270.020829134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50066401.91310941</v>
      </c>
      <c r="F19" s="6" t="n">
        <v>67797269.16444007</v>
      </c>
      <c r="G19" s="6" t="n">
        <v>106432974.8514239</v>
      </c>
      <c r="H19" s="6" t="n">
        <v>2792190524.285223</v>
      </c>
      <c r="I19" s="7" t="n">
        <v>0.03750000355548933</v>
      </c>
      <c r="J19" s="7" t="n">
        <v>0.04061250356615579</v>
      </c>
      <c r="K19" t="n">
        <v>3</v>
      </c>
      <c r="L19" s="7" t="n">
        <v>0.0371</v>
      </c>
      <c r="M19" s="7" t="n">
        <v>0.03753906294576947</v>
      </c>
      <c r="N19" s="3" t="n">
        <v>296448.10269706</v>
      </c>
      <c r="O19" s="3" t="n">
        <v>369387.9948341869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51485609.60263484</v>
      </c>
      <c r="F20" s="6" t="n">
        <v>66719834.4557837</v>
      </c>
      <c r="G20" s="6" t="n">
        <v>106442587.2808068</v>
      </c>
      <c r="H20" s="6" t="n">
        <v>2803537276.16136</v>
      </c>
      <c r="I20" s="7" t="n">
        <v>0.03750000355548933</v>
      </c>
      <c r="J20" s="7" t="n">
        <v>0.04061250356615579</v>
      </c>
      <c r="K20" t="n">
        <v>3</v>
      </c>
      <c r="L20" s="7" t="n">
        <v>0.0371</v>
      </c>
      <c r="M20" s="7" t="n">
        <v>0.03753906294576947</v>
      </c>
      <c r="N20" s="3" t="n">
        <v>297685.7273238324</v>
      </c>
      <c r="O20" s="3" t="n">
        <v>370670.5142493972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52383239.81585507</v>
      </c>
      <c r="F21" s="6" t="n">
        <v>67513198.04280752</v>
      </c>
      <c r="G21" s="6" t="n">
        <v>106455238.2665053</v>
      </c>
      <c r="H21" s="6" t="n">
        <v>2799406207.587144</v>
      </c>
      <c r="I21" s="7" t="n">
        <v>0.03750000355548933</v>
      </c>
      <c r="J21" s="7" t="n">
        <v>0.04061250356615579</v>
      </c>
      <c r="K21" t="n">
        <v>3</v>
      </c>
      <c r="L21" s="7" t="n">
        <v>0.037</v>
      </c>
      <c r="M21" s="7" t="n">
        <v>0.03745156294576948</v>
      </c>
      <c r="N21" s="3" t="n">
        <v>297004.0535719429</v>
      </c>
      <c r="O21" s="3" t="n">
        <v>370176.8997263162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51111523.9698009</v>
      </c>
      <c r="F22" s="6" t="n">
        <v>67032698.6111996</v>
      </c>
      <c r="G22" s="6" t="n">
        <v>106530285.11483</v>
      </c>
      <c r="H22" s="6" t="n">
        <v>2797748837.47726</v>
      </c>
      <c r="I22" s="7" t="n">
        <v>0.03750000355548933</v>
      </c>
      <c r="J22" s="7" t="n">
        <v>0.04061250356615579</v>
      </c>
      <c r="K22" t="n">
        <v>3</v>
      </c>
      <c r="L22" s="7" t="n">
        <v>0.037</v>
      </c>
      <c r="M22" s="7" t="n">
        <v>0.03745156294576948</v>
      </c>
      <c r="N22" s="3" t="n">
        <v>296823.2791894535</v>
      </c>
      <c r="O22" s="3" t="n">
        <v>369809.7478224952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50679725.96653047</v>
      </c>
      <c r="F23" s="6" t="n">
        <v>68273622.92989354</v>
      </c>
      <c r="G23" s="6" t="n">
        <v>106209842.7768683</v>
      </c>
      <c r="H23" s="6" t="n">
        <v>2823431277.441771</v>
      </c>
      <c r="I23" s="7" t="n">
        <v>0.03750000355548933</v>
      </c>
      <c r="J23" s="7" t="n">
        <v>0.04061250356615579</v>
      </c>
      <c r="K23" t="n">
        <v>3</v>
      </c>
      <c r="L23" s="7" t="n">
        <v>0.037</v>
      </c>
      <c r="M23" s="7" t="n">
        <v>0.03745156294576948</v>
      </c>
      <c r="N23" s="3" t="n">
        <v>299624.5407771443</v>
      </c>
      <c r="O23" s="3" t="n">
        <v>372676.9078637005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50370029.34486293</v>
      </c>
      <c r="F24" s="6" t="n">
        <v>35832584.38892286</v>
      </c>
      <c r="G24" s="6" t="n">
        <v>134869772.9750939</v>
      </c>
      <c r="H24" s="6" t="n">
        <v>2875710984.302173</v>
      </c>
      <c r="I24" s="7" t="n">
        <v>0.03750000355548933</v>
      </c>
      <c r="J24" s="7" t="n">
        <v>0.04061250356615579</v>
      </c>
      <c r="K24" t="n">
        <v>3</v>
      </c>
      <c r="L24" s="7" t="n">
        <v>0.037</v>
      </c>
      <c r="M24" s="7" t="n">
        <v>0.03745156294576948</v>
      </c>
      <c r="N24" s="3" t="n">
        <v>305326.8468993877</v>
      </c>
      <c r="O24" s="3" t="n">
        <v>377902.4025467546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50344611.05061571</v>
      </c>
      <c r="F25" s="6" t="n">
        <v>31091792.80012321</v>
      </c>
      <c r="G25" s="6" t="n">
        <v>166906447.5117323</v>
      </c>
      <c r="H25" s="6" t="n">
        <v>2990368976.163366</v>
      </c>
      <c r="I25" s="7" t="n">
        <v>0.03750000355548933</v>
      </c>
      <c r="J25" s="7" t="n">
        <v>0.04061250356615579</v>
      </c>
      <c r="K25" t="n">
        <v>3</v>
      </c>
      <c r="L25" s="7" t="n">
        <v>0.0371</v>
      </c>
      <c r="M25" s="7" t="n">
        <v>0.03753906294576947</v>
      </c>
      <c r="N25" s="3" t="n">
        <v>318064.0272556844</v>
      </c>
      <c r="O25" s="3" t="n">
        <v>393494.2774359263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50944392.4217291</v>
      </c>
      <c r="F26" s="6" t="n">
        <v>54536944.43641728</v>
      </c>
      <c r="G26" s="6" t="n">
        <v>174905990.8713613</v>
      </c>
      <c r="H26" s="6" t="n">
        <v>3135223165.415838</v>
      </c>
      <c r="I26" s="7" t="n">
        <v>0.03750000355548933</v>
      </c>
      <c r="J26" s="7" t="n">
        <v>0.04061250356615579</v>
      </c>
      <c r="K26" t="n">
        <v>3</v>
      </c>
      <c r="L26" s="7" t="n">
        <v>0.0369</v>
      </c>
      <c r="M26" s="7" t="n">
        <v>0.03736406294576947</v>
      </c>
      <c r="N26" s="3" t="n">
        <v>333401.5222335323</v>
      </c>
      <c r="O26" s="3" t="n">
        <v>412349.6882483802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50565289.64839695</v>
      </c>
      <c r="F27" s="6" t="n">
        <v>67943080.25770484</v>
      </c>
      <c r="G27" s="6" t="n">
        <v>191459906.6813183</v>
      </c>
      <c r="H27" s="6" t="n">
        <v>3211289928.449882</v>
      </c>
      <c r="I27" s="7" t="n">
        <v>0.03650000241537366</v>
      </c>
      <c r="J27" s="7" t="n">
        <v>0.03960950242261978</v>
      </c>
      <c r="K27" t="n">
        <v>3</v>
      </c>
      <c r="L27" s="7" t="n">
        <v>0.0369</v>
      </c>
      <c r="M27" s="7" t="n">
        <v>0.03723868780282747</v>
      </c>
      <c r="N27" s="3" t="n">
        <v>335524.3750066921</v>
      </c>
      <c r="O27" s="3" t="n">
        <v>415746.4430743197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50684526.19835092</v>
      </c>
      <c r="F28" s="6" t="n">
        <v>51312784.48707948</v>
      </c>
      <c r="G28" s="6" t="n">
        <v>150458263.8530219</v>
      </c>
      <c r="H28" s="6" t="n">
        <v>3292099375.067605</v>
      </c>
      <c r="I28" s="7" t="n">
        <v>0.03650000241537366</v>
      </c>
      <c r="J28" s="7" t="n">
        <v>0.03960950242261978</v>
      </c>
      <c r="K28" t="n">
        <v>3</v>
      </c>
      <c r="L28" s="7" t="n">
        <v>0.0369</v>
      </c>
      <c r="M28" s="7" t="n">
        <v>0.03723868780282747</v>
      </c>
      <c r="N28" s="3" t="n">
        <v>344124.9866949325</v>
      </c>
      <c r="O28" s="3" t="n">
        <v>418223.8308310992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51443892.32589994</v>
      </c>
      <c r="F29" s="6" t="n">
        <v>56762100.0283076</v>
      </c>
      <c r="G29" s="6" t="n">
        <v>148940725.8800582</v>
      </c>
      <c r="H29" s="6" t="n">
        <v>3296589904.23606</v>
      </c>
      <c r="I29" s="7" t="n">
        <v>0.03650000241537366</v>
      </c>
      <c r="J29" s="7" t="n">
        <v>0.03960950242261978</v>
      </c>
      <c r="K29" t="n">
        <v>3</v>
      </c>
      <c r="L29" s="7" t="n">
        <v>0.0369</v>
      </c>
      <c r="M29" s="7" t="n">
        <v>0.03723868780282747</v>
      </c>
      <c r="N29" s="3" t="n">
        <v>344602.9171754529</v>
      </c>
      <c r="O29" s="3" t="n">
        <v>419199.7712920604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51294807.23677015</v>
      </c>
      <c r="F30" s="6" t="n">
        <v>58672592.76287633</v>
      </c>
      <c r="G30" s="6" t="n">
        <v>140084321.8061661</v>
      </c>
      <c r="H30" s="6" t="n">
        <v>3276366843.30941</v>
      </c>
      <c r="I30" s="7" t="n">
        <v>0.03650000241537366</v>
      </c>
      <c r="J30" s="7" t="n">
        <v>0.03960950242261978</v>
      </c>
      <c r="K30" t="n">
        <v>3</v>
      </c>
      <c r="L30" s="7" t="n">
        <v>0.0369</v>
      </c>
      <c r="M30" s="7" t="n">
        <v>0.03723868780282747</v>
      </c>
      <c r="N30" s="3" t="n">
        <v>342450.5612138964</v>
      </c>
      <c r="O30" s="3" t="n">
        <v>416317.1461387215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51815665.60647119</v>
      </c>
      <c r="F31" s="6" t="n">
        <v>58313605.34159191</v>
      </c>
      <c r="G31" s="6" t="n">
        <v>154475144.3495293</v>
      </c>
      <c r="H31" s="6" t="n">
        <v>3312250632.051809</v>
      </c>
      <c r="I31" s="7" t="n">
        <v>0.03650000241537366</v>
      </c>
      <c r="J31" s="7" t="n">
        <v>0.03960950242261978</v>
      </c>
      <c r="K31" t="n">
        <v>3</v>
      </c>
      <c r="L31" s="7" t="n">
        <v>0.0369</v>
      </c>
      <c r="M31" s="7" t="n">
        <v>0.03723868780282747</v>
      </c>
      <c r="N31" s="3" t="n">
        <v>346269.700507551</v>
      </c>
      <c r="O31" s="3" t="n">
        <v>421685.2192304975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59681133.32946277</v>
      </c>
      <c r="F32" s="6" t="n">
        <v>59043123.38174734</v>
      </c>
      <c r="G32" s="6" t="n">
        <v>130752789.7099153</v>
      </c>
      <c r="H32" s="6" t="n">
        <v>3258122517.983321</v>
      </c>
      <c r="I32" s="7" t="n">
        <v>0.03650000241537366</v>
      </c>
      <c r="J32" s="7" t="n">
        <v>0.03960950242261978</v>
      </c>
      <c r="K32" t="n">
        <v>3</v>
      </c>
      <c r="L32" s="7" t="n">
        <v>0.0368</v>
      </c>
      <c r="M32" s="7" t="n">
        <v>0.03715118780282747</v>
      </c>
      <c r="N32" s="3" t="n">
        <v>340277.6512890411</v>
      </c>
      <c r="O32" s="3" t="n">
        <v>414084.3143305681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67253573.46902853</v>
      </c>
      <c r="F33" s="6" t="n">
        <v>69944172.19441128</v>
      </c>
      <c r="G33" s="6" t="n">
        <v>135699774.815579</v>
      </c>
      <c r="H33" s="6" t="n">
        <v>3362122392.270734</v>
      </c>
      <c r="I33" s="7" t="n">
        <v>0.03650000241537366</v>
      </c>
      <c r="J33" s="7" t="n">
        <v>0.03960950242261978</v>
      </c>
      <c r="K33" t="n">
        <v>3</v>
      </c>
      <c r="L33" s="7" t="n">
        <v>0.0368</v>
      </c>
      <c r="M33" s="7" t="n">
        <v>0.03715118780282747</v>
      </c>
      <c r="N33" s="3" t="n">
        <v>351346.4380684285</v>
      </c>
      <c r="O33" s="3" t="n">
        <v>427643.0523128192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85087299.19721687</v>
      </c>
      <c r="F34" s="6" t="n">
        <v>78610948.4058989</v>
      </c>
      <c r="G34" s="6" t="n">
        <v>131931405.5965129</v>
      </c>
      <c r="H34" s="6" t="n">
        <v>2779193695.575507</v>
      </c>
      <c r="I34" s="7" t="n">
        <v>0.03650000241537366</v>
      </c>
      <c r="J34" s="7" t="n">
        <v>0.03960950242261978</v>
      </c>
      <c r="K34" t="n">
        <v>3</v>
      </c>
      <c r="L34" s="7" t="n">
        <v>0.0368</v>
      </c>
      <c r="M34" s="7" t="n">
        <v>0.03715118780282747</v>
      </c>
      <c r="N34" s="3" t="n">
        <v>289304.8875808378</v>
      </c>
      <c r="O34" s="3" t="n">
        <v>368020.6501310325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86560462.48908544</v>
      </c>
      <c r="F35" s="6" t="n">
        <v>70470930.59786333</v>
      </c>
      <c r="G35" s="6" t="n">
        <v>129864360.3284257</v>
      </c>
      <c r="H35" s="6" t="n">
        <v>3376624034.805389</v>
      </c>
      <c r="I35" s="7" t="n">
        <v>0.03650000241537366</v>
      </c>
      <c r="J35" s="7" t="n">
        <v>0.03960950242261978</v>
      </c>
      <c r="K35" t="n">
        <v>3</v>
      </c>
      <c r="L35" s="7" t="n">
        <v>0.0368</v>
      </c>
      <c r="M35" s="7" t="n">
        <v>0.03715118780282747</v>
      </c>
      <c r="N35" s="3" t="n">
        <v>352889.8590606826</v>
      </c>
      <c r="O35" s="3" t="n">
        <v>430676.5139146195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9469862.376619508</v>
      </c>
      <c r="O37" s="12" t="n">
        <v>11739793.0862701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2026-07-31T00:19:43Z</dcterms:created>
  <dcterms:modified xsi:type="dcterms:W3CDTF">2026-07-31T00:19:43Z</dcterms:modified>
</cp:coreProperties>
</file>