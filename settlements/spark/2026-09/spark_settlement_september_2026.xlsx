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status" sheetId="1" state="visible" r:id="rId1"/>
    <sheet name="Summary" sheetId="2" state="visible" r:id="rId2"/>
    <sheet name="Venues" sheetId="3" state="visible" r:id="rId3"/>
    <sheet name="Sky Revenue" sheetId="4" state="visible" r:id="rId4"/>
    <sheet name="Sky Direct" sheetId="5" state="visible" r:id="rId5"/>
    <sheet name="Deb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14" t="inlineStr">
        <is>
          <t>September 2026 close</t>
        </is>
      </c>
      <c r="B1" s="14" t="inlineStr">
        <is>
          <t>PRELIMINARY — official September 30 SOFR pending</t>
        </is>
      </c>
    </row>
    <row r="2">
      <c r="A2" s="15" t="inlineStr">
        <is>
          <t>calculation</t>
        </is>
      </c>
      <c r="B2" s="15" t="inlineStr">
        <is>
          <t>Independent full monthly pipeline, compared field-by-field with September 30 API result</t>
        </is>
      </c>
    </row>
    <row r="3">
      <c r="A3" s="15" t="inlineStr">
        <is>
          <t>calculation_code_version</t>
        </is>
      </c>
      <c r="B3" s="15" t="inlineStr">
        <is>
          <t>c32f25a7ef410eaaf9212b8f546f652c715dc7ac</t>
        </is>
      </c>
    </row>
    <row r="4">
      <c r="A4" s="15" t="inlineStr">
        <is>
          <t>daily_revision</t>
        </is>
      </c>
      <c r="B4" s="15" t="inlineStr">
        <is>
          <t>f59c3bc84fc4bf0515022888808ebf87585738396892230c14d8961aa2e9bf5a</t>
        </is>
      </c>
    </row>
    <row r="5">
      <c r="A5" s="15" t="inlineStr">
        <is>
          <t>monthly_result_sha256</t>
        </is>
      </c>
      <c r="B5" s="15" t="inlineStr">
        <is>
          <t>3e9c9e13885460b58ffc66c3f481f87f6c7e159a0d8722f20b57a33f95c35df4</t>
        </is>
      </c>
    </row>
    <row r="6">
      <c r="A6" s="15" t="inlineStr">
        <is>
          <t>daily_result_sha256</t>
        </is>
      </c>
      <c r="B6" s="15" t="inlineStr">
        <is>
          <t>3e9c9e13885460b58ffc66c3f481f87f6c7e159a0d8722f20b57a33f95c35df4</t>
        </is>
      </c>
    </row>
    <row r="7">
      <c r="A7" s="15" t="inlineStr">
        <is>
          <t>comparison</t>
        </is>
      </c>
      <c r="B7" s="15" t="inlineStr">
        <is>
          <t>all result fields match</t>
        </is>
      </c>
    </row>
    <row r="8">
      <c r="A8" s="15" t="inlineStr">
        <is>
          <t>distribution_rewards_workbook_sha256</t>
        </is>
      </c>
      <c r="B8" s="15" t="inlineStr">
        <is>
          <t>17eee2ca39bd63e68e6d87097ede0007d8741e41cb9a7fceb017da713103b02e</t>
        </is>
      </c>
    </row>
    <row r="9">
      <c r="A9" s="15" t="inlineStr">
        <is>
          <t>distribution_rewards_code</t>
        </is>
      </c>
      <c r="B9" s="15" t="inlineStr">
        <is>
          <t>1e9ecb2 (merged settle-dr-dune PR #27; finalized September snapshot)</t>
        </is>
      </c>
    </row>
    <row r="10">
      <c r="A10" s="15" t="inlineStr">
        <is>
          <t>reference_rate_status</t>
        </is>
      </c>
      <c r="B10" s="15" t="inlineStr">
        <is>
          <t>PRELIMINARY: operator-authorized September 29 SOFR carried to September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9011591.411259666</v>
      </c>
    </row>
    <row r="5">
      <c r="A5" t="inlineStr">
        <is>
          <t>+ agent_rate (subproxy USDS / sUSDS yield)</t>
        </is>
      </c>
      <c r="B5" s="3" t="n">
        <v>145157.1728314364</v>
      </c>
    </row>
    <row r="6">
      <c r="A6" t="inlineStr">
        <is>
          <t>+ distribution_rewards (settle-dr-dune)</t>
        </is>
      </c>
      <c r="B6" s="3" t="n">
        <v>664193.1733497445</v>
      </c>
    </row>
    <row r="7">
      <c r="B7" s="4" t="n">
        <v>9820941.757440846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8214792.081688168</v>
      </c>
    </row>
    <row r="11">
      <c r="A11" t="inlineStr">
        <is>
          <t>+ SDE revenue (Sky-Direct, full to Sky)</t>
        </is>
      </c>
      <c r="B11" s="3" t="n">
        <v>3875.849924106662</v>
      </c>
    </row>
    <row r="12">
      <c r="B12" s="4" t="n">
        <v>8218667.931612275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8214792.081688168</v>
      </c>
    </row>
    <row r="16">
      <c r="A16" t="inlineStr">
        <is>
          <t>reduction from idle/SDE deductions</t>
        </is>
      </c>
      <c r="B16" s="3" t="n">
        <v>-2042729.752441128</v>
      </c>
    </row>
    <row r="17">
      <c r="B17" s="4" t="n">
        <v>10257521.8341293</v>
      </c>
    </row>
    <row r="19">
      <c r="A19" s="5" t="inlineStr">
        <is>
          <t>sUSDS spread (Curve LP + PSM3) — deducted from sky_revenue</t>
        </is>
      </c>
      <c r="B19" s="3" t="n">
        <v>11942.52804365823</v>
      </c>
    </row>
    <row r="21">
      <c r="A21" s="2" t="inlineStr">
        <is>
          <t>Comparison (Grove-style "Profit to Grove")</t>
        </is>
      </c>
      <c r="B21" s="2" t="inlineStr">
        <is>
          <t>USD</t>
        </is>
      </c>
    </row>
    <row r="22">
      <c r="A22" t="inlineStr">
        <is>
          <t>prime_agent_revenue</t>
        </is>
      </c>
      <c r="B22" s="3" t="n">
        <v>9011591.411259666</v>
      </c>
    </row>
    <row r="23">
      <c r="A23" t="inlineStr">
        <is>
          <t>− CoF (deducted per-venue in display)</t>
        </is>
      </c>
      <c r="B23" s="3" t="n">
        <v>-8214792.081688168</v>
      </c>
    </row>
    <row r="24">
      <c r="B24" s="4" t="n">
        <v>617223.378874959</v>
      </c>
    </row>
    <row r="26">
      <c r="A26" t="inlineStr">
        <is>
          <t>Period</t>
        </is>
      </c>
      <c r="B26" t="inlineStr">
        <is>
          <t>2026-09-01 → 2026-09-30 (30 days)</t>
        </is>
      </c>
    </row>
    <row r="27">
      <c r="A27" t="inlineStr">
        <is>
          <t>Pin blocks</t>
        </is>
      </c>
      <c r="B27" t="inlineStr">
        <is>
          <t>arbitrum=510496863, avalanche_c=96488899, base=52011726, ethereum=26093737, optimism=157607011, unichain=60064440</t>
        </is>
      </c>
    </row>
    <row r="28">
      <c r="A28" t="inlineStr">
        <is>
          <t>Generated</t>
        </is>
      </c>
      <c r="B28" t="inlineStr">
        <is>
          <t>2026-10-01T10:53:23+00:00</t>
        </is>
      </c>
    </row>
    <row r="29">
      <c r="A29" t="inlineStr">
        <is>
          <t>Pipeline</t>
        </is>
      </c>
      <c r="B29" t="inlineStr">
        <is>
          <t>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spread)</t>
        </is>
      </c>
      <c r="C2" t="inlineStr">
        <is>
          <t>ethereum</t>
        </is>
      </c>
      <c r="D2" t="inlineStr">
        <is>
          <t>B</t>
        </is>
      </c>
      <c r="E2" s="6" t="n">
        <v>705318334.5702509</v>
      </c>
      <c r="F2" s="6" t="n">
        <v>771008383.0785193</v>
      </c>
      <c r="G2" s="6" t="n">
        <v>65690048.50826843</v>
      </c>
      <c r="H2" s="6" t="n">
        <v>1238436.205059204</v>
      </c>
      <c r="I2" s="6" t="n">
        <v>0</v>
      </c>
      <c r="J2" s="6" t="n">
        <v>1238436.205059204</v>
      </c>
      <c r="K2" s="6" t="n">
        <v>0</v>
      </c>
      <c r="L2" s="6" t="n">
        <v>727592059.8352032</v>
      </c>
      <c r="M2" s="7" t="n">
        <v>1</v>
      </c>
      <c r="N2" s="6" t="n">
        <v>2058331.348320025</v>
      </c>
      <c r="O2" s="6" t="n">
        <v>2058331.348320025</v>
      </c>
      <c r="P2" s="6" t="n">
        <v>-819895.1432608204</v>
      </c>
      <c r="Q2" s="6" t="n">
        <v>0</v>
      </c>
      <c r="R2" s="6" t="n">
        <v>0</v>
      </c>
    </row>
    <row r="3">
      <c r="A3" t="inlineStr">
        <is>
          <t>S1</t>
        </is>
      </c>
      <c r="B3" t="inlineStr">
        <is>
          <t>Spark USDS (SparkLend spToken)</t>
        </is>
      </c>
      <c r="C3" t="inlineStr">
        <is>
          <t>ethereum</t>
        </is>
      </c>
      <c r="D3" t="inlineStr">
        <is>
          <t>C</t>
        </is>
      </c>
      <c r="E3" s="6" t="n">
        <v>682636576.9132075</v>
      </c>
      <c r="F3" s="6" t="n">
        <v>1334095102.952102</v>
      </c>
      <c r="G3" s="6" t="n">
        <v>651458526.0388944</v>
      </c>
      <c r="H3" s="6" t="n">
        <v>2113055.557198851</v>
      </c>
      <c r="I3" s="6" t="n">
        <v>0</v>
      </c>
      <c r="J3" s="6" t="n">
        <v>2113055.557198851</v>
      </c>
      <c r="K3" s="6" t="n">
        <v>0</v>
      </c>
      <c r="L3" s="6" t="n">
        <v>721405025.8874488</v>
      </c>
      <c r="M3" s="7" t="n">
        <v>1</v>
      </c>
      <c r="N3" s="6" t="n">
        <v>2040828.455379347</v>
      </c>
      <c r="O3" s="6" t="n">
        <v>2040828.455379347</v>
      </c>
      <c r="P3" s="6" t="n">
        <v>72227.10181950497</v>
      </c>
      <c r="Q3" s="6" t="n">
        <v>356306847.9377152</v>
      </c>
      <c r="R3" s="6" t="n">
        <v>0</v>
      </c>
      <c r="S3" t="inlineStr">
        <is>
          <t>(avg excl. lending_idle)</t>
        </is>
      </c>
    </row>
    <row r="4">
      <c r="A4" t="inlineStr">
        <is>
          <t>S3</t>
        </is>
      </c>
      <c r="B4" t="inlineStr">
        <is>
          <t>Spark USDT (SparkLend spToken)</t>
        </is>
      </c>
      <c r="C4" t="inlineStr">
        <is>
          <t>ethereum</t>
        </is>
      </c>
      <c r="D4" t="inlineStr">
        <is>
          <t>C</t>
        </is>
      </c>
      <c r="E4" s="6" t="n">
        <v>341638725.767357</v>
      </c>
      <c r="F4" s="6" t="n">
        <v>290670918.976529</v>
      </c>
      <c r="G4" s="6" t="n">
        <v>-50967806.790828</v>
      </c>
      <c r="H4" s="6" t="n">
        <v>829089.790363</v>
      </c>
      <c r="I4" s="6" t="n">
        <v>0</v>
      </c>
      <c r="J4" s="6" t="n">
        <v>829089.790363</v>
      </c>
      <c r="K4" s="6" t="n">
        <v>0</v>
      </c>
      <c r="L4" s="6" t="n">
        <v>300922897.595843</v>
      </c>
      <c r="M4" s="7" t="n">
        <v>1</v>
      </c>
      <c r="N4" s="6" t="n">
        <v>851299.880442774</v>
      </c>
      <c r="O4" s="6" t="n">
        <v>851299.880442774</v>
      </c>
      <c r="P4" s="6" t="n">
        <v>-22210.09007977402</v>
      </c>
      <c r="Q4" s="6" t="n">
        <v>0</v>
      </c>
      <c r="R4" s="6" t="n">
        <v>0</v>
      </c>
    </row>
    <row r="5">
      <c r="A5" t="inlineStr">
        <is>
          <t>S34</t>
        </is>
      </c>
      <c r="B5" t="inlineStr">
        <is>
          <t>Spark USDC Vault (Morpho, Base)</t>
        </is>
      </c>
      <c r="C5" t="inlineStr">
        <is>
          <t>base</t>
        </is>
      </c>
      <c r="D5" t="inlineStr">
        <is>
          <t>B</t>
        </is>
      </c>
      <c r="E5" s="6" t="n">
        <v>283341073.5577104</v>
      </c>
      <c r="F5" s="6" t="n">
        <v>318369377.9117908</v>
      </c>
      <c r="G5" s="6" t="n">
        <v>35028304.35408038</v>
      </c>
      <c r="H5" s="6" t="n">
        <v>902491.33653301</v>
      </c>
      <c r="I5" s="6" t="n">
        <v>0</v>
      </c>
      <c r="J5" s="6" t="n">
        <v>902491.33653301</v>
      </c>
      <c r="K5" s="6" t="n">
        <v>0</v>
      </c>
      <c r="L5" s="6" t="n">
        <v>287587439.2492312</v>
      </c>
      <c r="M5" s="7" t="n">
        <v>1</v>
      </c>
      <c r="N5" s="6" t="n">
        <v>813574.3561080747</v>
      </c>
      <c r="O5" s="6" t="n">
        <v>813574.3561080747</v>
      </c>
      <c r="P5" s="6" t="n">
        <v>88916.98042493533</v>
      </c>
      <c r="Q5" s="6" t="n">
        <v>0</v>
      </c>
      <c r="R5" s="6" t="n">
        <v>0</v>
      </c>
    </row>
    <row r="6">
      <c r="A6" t="inlineStr">
        <is>
          <t>S28</t>
        </is>
      </c>
      <c r="B6" t="inlineStr">
        <is>
          <t>PYUSD raw (ALM idle — $677M as of 2026-04)</t>
        </is>
      </c>
      <c r="C6" t="inlineStr">
        <is>
          <t>ethereum</t>
        </is>
      </c>
      <c r="D6" t="inlineStr">
        <is>
          <t>A</t>
        </is>
      </c>
      <c r="E6" s="6" t="n">
        <v>239105806.766907</v>
      </c>
      <c r="F6" s="6" t="n">
        <v>197178528.746132</v>
      </c>
      <c r="G6" s="6" t="n">
        <v>-41927278.020775</v>
      </c>
      <c r="H6" s="6" t="n">
        <v>1809960</v>
      </c>
      <c r="I6" s="6" t="n">
        <v>0</v>
      </c>
      <c r="J6" s="6" t="n">
        <v>1809960</v>
      </c>
      <c r="K6" s="6" t="n">
        <v>0</v>
      </c>
      <c r="L6" s="6" t="n">
        <v>215035860.3675343</v>
      </c>
      <c r="M6" s="7" t="n">
        <v>1</v>
      </c>
      <c r="N6" s="6" t="n">
        <v>608328.5907596545</v>
      </c>
      <c r="O6" s="6" t="n">
        <v>608328.5907596545</v>
      </c>
      <c r="P6" s="6" t="n">
        <v>1201631.409240345</v>
      </c>
      <c r="Q6" s="6" t="n">
        <v>0</v>
      </c>
      <c r="R6" s="6" t="n">
        <v>0</v>
      </c>
    </row>
    <row r="7">
      <c r="A7" t="inlineStr">
        <is>
          <t>S4</t>
        </is>
      </c>
      <c r="B7" t="inlineStr">
        <is>
          <t>Spark DAI (SparkLend spToken)</t>
        </is>
      </c>
      <c r="C7" t="inlineStr">
        <is>
          <t>ethereum</t>
        </is>
      </c>
      <c r="D7" t="inlineStr">
        <is>
          <t>C</t>
        </is>
      </c>
      <c r="E7" s="6" t="n">
        <v>304282084.3422028</v>
      </c>
      <c r="F7" s="6" t="n">
        <v>273954224.2931706</v>
      </c>
      <c r="G7" s="6" t="n">
        <v>-30327860.04903215</v>
      </c>
      <c r="H7" s="6" t="n">
        <v>588322.3400715282</v>
      </c>
      <c r="I7" s="6" t="n">
        <v>0</v>
      </c>
      <c r="J7" s="6" t="n">
        <v>588322.3400715282</v>
      </c>
      <c r="K7" s="6" t="n">
        <v>0</v>
      </c>
      <c r="L7" s="6" t="n">
        <v>193762697.3166503</v>
      </c>
      <c r="M7" s="7" t="n">
        <v>1</v>
      </c>
      <c r="N7" s="6" t="n">
        <v>548147.5898901902</v>
      </c>
      <c r="O7" s="6" t="n">
        <v>548147.5898901902</v>
      </c>
      <c r="P7" s="6" t="n">
        <v>40174.75018133802</v>
      </c>
      <c r="Q7" s="6" t="n">
        <v>88817648.89443713</v>
      </c>
      <c r="R7" s="6" t="n">
        <v>0</v>
      </c>
      <c r="S7" t="inlineStr">
        <is>
          <t>(avg excl. lending_idle)</t>
        </is>
      </c>
    </row>
    <row r="8">
      <c r="A8" t="inlineStr">
        <is>
          <t>S64</t>
        </is>
      </c>
      <c r="B8" t="inlineStr">
        <is>
          <t>RLUSD raw (ALM idle — $251.7M as of 2026-08)</t>
        </is>
      </c>
      <c r="C8" t="inlineStr">
        <is>
          <t>ethereum</t>
        </is>
      </c>
      <c r="D8" t="inlineStr">
        <is>
          <t>A</t>
        </is>
      </c>
      <c r="E8" s="6" t="n">
        <v>251703857.665157</v>
      </c>
      <c r="F8" s="6" t="n">
        <v>96353734.96180294</v>
      </c>
      <c r="G8" s="6" t="n">
        <v>-155350122.703354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185386445.524263</v>
      </c>
      <c r="M8" s="7" t="n">
        <v>1</v>
      </c>
      <c r="N8" s="6" t="n">
        <v>524451.4796693093</v>
      </c>
      <c r="O8" s="6" t="n">
        <v>524451.4796693093</v>
      </c>
      <c r="P8" s="6" t="n">
        <v>-524451.4796693093</v>
      </c>
      <c r="Q8" s="6" t="n">
        <v>0</v>
      </c>
      <c r="R8" s="6" t="n">
        <v>0</v>
      </c>
    </row>
    <row r="9">
      <c r="A9" t="inlineStr">
        <is>
          <t>S5</t>
        </is>
      </c>
      <c r="B9" t="inlineStr">
        <is>
          <t>Spark PYUSD (SparkLend spToken)</t>
        </is>
      </c>
      <c r="C9" t="inlineStr">
        <is>
          <t>ethereum</t>
        </is>
      </c>
      <c r="D9" t="inlineStr">
        <is>
          <t>C</t>
        </is>
      </c>
      <c r="E9" s="6" t="n">
        <v>100000199.876674</v>
      </c>
      <c r="F9" s="6" t="n">
        <v>143845442.717366</v>
      </c>
      <c r="G9" s="6" t="n">
        <v>43845242.840692</v>
      </c>
      <c r="H9" s="6" t="n">
        <v>97210.76701900001</v>
      </c>
      <c r="I9" s="6" t="n">
        <v>0</v>
      </c>
      <c r="J9" s="6" t="n">
        <v>97210.76701900001</v>
      </c>
      <c r="K9" s="6" t="n">
        <v>0</v>
      </c>
      <c r="L9" s="6" t="n">
        <v>124073597.0185023</v>
      </c>
      <c r="M9" s="7" t="n">
        <v>1</v>
      </c>
      <c r="N9" s="6" t="n">
        <v>350999.671848883</v>
      </c>
      <c r="O9" s="6" t="n">
        <v>350999.671848883</v>
      </c>
      <c r="P9" s="6" t="n">
        <v>-253788.904829883</v>
      </c>
      <c r="Q9" s="6" t="n">
        <v>0</v>
      </c>
      <c r="R9" s="6" t="n">
        <v>0</v>
      </c>
    </row>
    <row r="10">
      <c r="A10" t="inlineStr">
        <is>
          <t>S61</t>
        </is>
      </c>
      <c r="B10" t="inlineStr">
        <is>
          <t>Spark.fi PYUSD Reserve Uniswap V4 (PYUSD/USDS)</t>
        </is>
      </c>
      <c r="C10" t="inlineStr">
        <is>
          <t>ethereum</t>
        </is>
      </c>
      <c r="D10" t="inlineStr">
        <is>
          <t>F</t>
        </is>
      </c>
      <c r="E10" s="6" t="n">
        <v>100118954.1795337</v>
      </c>
      <c r="F10" s="6" t="n">
        <v>100119291.4453586</v>
      </c>
      <c r="G10" s="6" t="n">
        <v>337.2658248830123</v>
      </c>
      <c r="H10" s="6" t="n">
        <v>402.031314441601</v>
      </c>
      <c r="I10" s="6" t="n">
        <v>0</v>
      </c>
      <c r="J10" s="6" t="n">
        <v>402.031314441601</v>
      </c>
      <c r="K10" s="6" t="n">
        <v>0</v>
      </c>
      <c r="L10" s="6" t="n">
        <v>58390390.66287698</v>
      </c>
      <c r="M10" s="7" t="n">
        <v>1</v>
      </c>
      <c r="N10" s="6" t="n">
        <v>165184.281380523</v>
      </c>
      <c r="O10" s="6" t="n">
        <v>165184.281380523</v>
      </c>
      <c r="P10" s="6" t="n">
        <v>-164782.2500660814</v>
      </c>
      <c r="Q10" s="6" t="n">
        <v>0</v>
      </c>
      <c r="R10" s="6" t="n">
        <v>0</v>
      </c>
      <c r="S10" t="inlineStr">
        <is>
          <t>(avg excl. idle AMM USDS)</t>
        </is>
      </c>
    </row>
    <row r="11">
      <c r="A11" t="inlineStr">
        <is>
          <t>S65</t>
        </is>
      </c>
      <c r="B11" t="inlineStr">
        <is>
          <t>Spark Blue Chip USDT Vault (Morpho — 2026-06 redeployment)</t>
        </is>
      </c>
      <c r="C11" t="inlineStr">
        <is>
          <t>ethereum</t>
        </is>
      </c>
      <c r="D11" t="inlineStr">
        <is>
          <t>B</t>
        </is>
      </c>
      <c r="E11" s="6" t="n">
        <v>32509163.72156616</v>
      </c>
      <c r="F11" s="6" t="n">
        <v>77975823.36466382</v>
      </c>
      <c r="G11" s="6" t="n">
        <v>45466659.64309767</v>
      </c>
      <c r="H11" s="6" t="n">
        <v>56044.71251374322</v>
      </c>
      <c r="I11" s="6" t="n">
        <v>0</v>
      </c>
      <c r="J11" s="6" t="n">
        <v>56044.71251374322</v>
      </c>
      <c r="K11" s="6" t="n">
        <v>0</v>
      </c>
      <c r="L11" s="6" t="n">
        <v>25664764.71377946</v>
      </c>
      <c r="M11" s="7" t="n">
        <v>1</v>
      </c>
      <c r="N11" s="6" t="n">
        <v>72604.68148813346</v>
      </c>
      <c r="O11" s="6" t="n">
        <v>72604.68148813346</v>
      </c>
      <c r="P11" s="6" t="n">
        <v>-16559.96897439024</v>
      </c>
      <c r="Q11" s="6" t="n">
        <v>0</v>
      </c>
      <c r="R11" s="6" t="n">
        <v>0</v>
      </c>
    </row>
    <row r="12">
      <c r="A12" t="inlineStr">
        <is>
          <t>S18</t>
        </is>
      </c>
      <c r="B12" t="inlineStr">
        <is>
          <t>Arkis Spark Prime USDC 1 (ERC-4626)</t>
        </is>
      </c>
      <c r="C12" t="inlineStr">
        <is>
          <t>ethereum</t>
        </is>
      </c>
      <c r="D12" t="inlineStr">
        <is>
          <t>B</t>
        </is>
      </c>
      <c r="E12" s="6" t="n">
        <v>20321999.31292716</v>
      </c>
      <c r="F12" s="6" t="n">
        <v>20424971.86365957</v>
      </c>
      <c r="G12" s="6" t="n">
        <v>102972.5507324077</v>
      </c>
      <c r="H12" s="6" t="n">
        <v>102972.5507324077</v>
      </c>
      <c r="I12" s="6" t="n">
        <v>0</v>
      </c>
      <c r="J12" s="6" t="n">
        <v>102972.5507324077</v>
      </c>
      <c r="K12" s="6" t="n">
        <v>0</v>
      </c>
      <c r="L12" s="6" t="n">
        <v>20321999.31292716</v>
      </c>
      <c r="M12" s="7" t="n">
        <v>1</v>
      </c>
      <c r="N12" s="6" t="n">
        <v>57490.19341388935</v>
      </c>
      <c r="O12" s="6" t="n">
        <v>57490.19341388935</v>
      </c>
      <c r="P12" s="6" t="n">
        <v>45482.35731851836</v>
      </c>
      <c r="Q12" s="6" t="n">
        <v>0</v>
      </c>
      <c r="R12" s="6" t="n">
        <v>0</v>
      </c>
    </row>
    <row r="13">
      <c r="A13" t="inlineStr">
        <is>
          <t>S43</t>
        </is>
      </c>
      <c r="B13" t="inlineStr">
        <is>
          <t>Savings USDS / sUSDS proxy (Arbitrum — POL)</t>
        </is>
      </c>
      <c r="C13" t="inlineStr">
        <is>
          <t>arbitrum</t>
        </is>
      </c>
      <c r="D13" t="inlineStr">
        <is>
          <t>B</t>
        </is>
      </c>
      <c r="E13" s="6" t="n">
        <v>89636603.76011395</v>
      </c>
      <c r="F13" s="6" t="n">
        <v>0.7079334989579819</v>
      </c>
      <c r="G13" s="6" t="n">
        <v>-89636603.05218045</v>
      </c>
      <c r="H13" s="6" t="n">
        <v>51625.38082820114</v>
      </c>
      <c r="I13" s="6" t="n">
        <v>0</v>
      </c>
      <c r="J13" s="6" t="n">
        <v>51625.38082820114</v>
      </c>
      <c r="K13" s="6" t="n">
        <v>0</v>
      </c>
      <c r="L13" s="6" t="n">
        <v>14896413.39927341</v>
      </c>
      <c r="M13" s="7" t="n">
        <v>1</v>
      </c>
      <c r="N13" s="6" t="n">
        <v>42141.40913550332</v>
      </c>
      <c r="O13" s="6" t="n">
        <v>39685.61177221253</v>
      </c>
      <c r="P13" s="6" t="n">
        <v>9483.971692697811</v>
      </c>
      <c r="Q13" s="6" t="n">
        <v>0</v>
      </c>
      <c r="R13" s="6" t="n">
        <v>2455.797363290793</v>
      </c>
    </row>
    <row r="14">
      <c r="A14" t="inlineStr">
        <is>
          <t>S2</t>
        </is>
      </c>
      <c r="B14" t="inlineStr">
        <is>
          <t>Spark USDC (SparkLend spToken)</t>
        </is>
      </c>
      <c r="C14" t="inlineStr">
        <is>
          <t>ethereum</t>
        </is>
      </c>
      <c r="D14" t="inlineStr">
        <is>
          <t>C</t>
        </is>
      </c>
      <c r="E14" s="6" t="n">
        <v>6825075.305007</v>
      </c>
      <c r="F14" s="6" t="n">
        <v>26311446.789352</v>
      </c>
      <c r="G14" s="6" t="n">
        <v>19486371.484345</v>
      </c>
      <c r="H14" s="6" t="n">
        <v>37428.204997</v>
      </c>
      <c r="I14" s="6" t="n">
        <v>0</v>
      </c>
      <c r="J14" s="6" t="n">
        <v>37428.204997</v>
      </c>
      <c r="K14" s="6" t="n">
        <v>0</v>
      </c>
      <c r="L14" s="6" t="n">
        <v>13789561.5033751</v>
      </c>
      <c r="M14" s="7" t="n">
        <v>1</v>
      </c>
      <c r="N14" s="6" t="n">
        <v>39010.16557054337</v>
      </c>
      <c r="O14" s="6" t="n">
        <v>39010.16557054337</v>
      </c>
      <c r="P14" s="6" t="n">
        <v>-1581.960573543371</v>
      </c>
      <c r="Q14" s="6" t="n">
        <v>0</v>
      </c>
      <c r="R14" s="6" t="n">
        <v>0</v>
      </c>
    </row>
    <row r="15">
      <c r="A15" t="inlineStr">
        <is>
          <t>S10</t>
        </is>
      </c>
      <c r="B15" t="inlineStr">
        <is>
          <t>Spark Blue Chip USDC Vault (Morpho)</t>
        </is>
      </c>
      <c r="C15" t="inlineStr">
        <is>
          <t>ethereum</t>
        </is>
      </c>
      <c r="D15" t="inlineStr">
        <is>
          <t>B</t>
        </is>
      </c>
      <c r="E15" s="6" t="n">
        <v>11021603.25234972</v>
      </c>
      <c r="F15" s="6" t="n">
        <v>39487388.54400175</v>
      </c>
      <c r="G15" s="6" t="n">
        <v>28465785.29165203</v>
      </c>
      <c r="H15" s="6" t="n">
        <v>32690.03755595306</v>
      </c>
      <c r="I15" s="6" t="n">
        <v>0</v>
      </c>
      <c r="J15" s="6" t="n">
        <v>32690.03755595306</v>
      </c>
      <c r="K15" s="6" t="n">
        <v>0</v>
      </c>
      <c r="L15" s="6" t="n">
        <v>10137418.96457929</v>
      </c>
      <c r="M15" s="7" t="n">
        <v>1</v>
      </c>
      <c r="N15" s="6" t="n">
        <v>28678.38779133129</v>
      </c>
      <c r="O15" s="6" t="n">
        <v>28678.38779133129</v>
      </c>
      <c r="P15" s="6" t="n">
        <v>4011.649764621767</v>
      </c>
      <c r="Q15" s="6" t="n">
        <v>0</v>
      </c>
      <c r="R15" s="6" t="n">
        <v>0</v>
      </c>
    </row>
    <row r="16">
      <c r="A16" t="inlineStr">
        <is>
          <t>S66</t>
        </is>
      </c>
      <c r="B16" t="inlineStr">
        <is>
          <t>Spark.fi RLUSD Reserve Uniswap V4 (RLUSD/USDS)</t>
        </is>
      </c>
      <c r="C16" t="inlineStr">
        <is>
          <t>ethereum</t>
        </is>
      </c>
      <c r="D16" t="inlineStr">
        <is>
          <t>F</t>
        </is>
      </c>
      <c r="E16" s="6" t="n">
        <v>19999704.07519871</v>
      </c>
      <c r="F16" s="6" t="n">
        <v>19999614.04838496</v>
      </c>
      <c r="G16" s="6" t="n">
        <v>-90.02681374918072</v>
      </c>
      <c r="H16" s="6" t="n">
        <v>-90.02681374918072</v>
      </c>
      <c r="I16" s="6" t="n">
        <v>0</v>
      </c>
      <c r="J16" s="6" t="n">
        <v>-90.02681374918072</v>
      </c>
      <c r="K16" s="6" t="n">
        <v>0</v>
      </c>
      <c r="L16" s="6" t="n">
        <v>8811902.569257861</v>
      </c>
      <c r="M16" s="7" t="n">
        <v>1</v>
      </c>
      <c r="N16" s="6" t="n">
        <v>24928.55034832756</v>
      </c>
      <c r="O16" s="6" t="n">
        <v>24928.55034832756</v>
      </c>
      <c r="P16" s="6" t="n">
        <v>-25018.57716207674</v>
      </c>
      <c r="Q16" s="6" t="n">
        <v>0</v>
      </c>
      <c r="R16" s="6" t="n">
        <v>0</v>
      </c>
      <c r="S16" t="inlineStr">
        <is>
          <t>(avg excl. idle AMM USDS)</t>
        </is>
      </c>
    </row>
    <row r="17">
      <c r="A17" t="inlineStr">
        <is>
          <t>SPREAD</t>
        </is>
      </c>
      <c r="B17" t="inlineStr">
        <is>
          <t>30bps sUSDS spread (Curve LP + PSM3) — Sky Revenue reduction</t>
        </is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7" t="n">
        <v>0</v>
      </c>
      <c r="N17" s="6" t="n">
        <v>0</v>
      </c>
      <c r="O17" s="6" t="n">
        <v>-9486.73068036744</v>
      </c>
      <c r="P17" s="6" t="n">
        <v>0</v>
      </c>
      <c r="Q17" s="6" t="n">
        <v>0</v>
      </c>
      <c r="R17" s="6" t="n">
        <v>9486.73068036744</v>
      </c>
      <c r="S17" t="inlineStr">
        <is>
          <t>sky-revenue reduction (no CoF; computed outside venue loop)</t>
        </is>
      </c>
    </row>
    <row r="18">
      <c r="A18" t="inlineStr">
        <is>
          <t>S62</t>
        </is>
      </c>
      <c r="B18" t="inlineStr">
        <is>
          <t>Spark.fi USDT Reserve Uniswap V4 (USDT/USDS)</t>
        </is>
      </c>
      <c r="C18" t="inlineStr">
        <is>
          <t>ethereum</t>
        </is>
      </c>
      <c r="D18" t="inlineStr">
        <is>
          <t>F</t>
        </is>
      </c>
      <c r="E18" s="6" t="n">
        <v>50000607.68881255</v>
      </c>
      <c r="F18" s="6" t="n">
        <v>50000220.37445297</v>
      </c>
      <c r="G18" s="6" t="n">
        <v>-387.3143595855997</v>
      </c>
      <c r="H18" s="6" t="n">
        <v>3875.841223678495</v>
      </c>
      <c r="I18" s="6" t="n">
        <v>0</v>
      </c>
      <c r="J18" s="6" t="n">
        <v>0</v>
      </c>
      <c r="K18" s="6" t="n">
        <v>3875.841223678495</v>
      </c>
      <c r="L18" s="6" t="n">
        <v>29635839.11430195</v>
      </c>
      <c r="M18" s="7" t="n">
        <v>0</v>
      </c>
      <c r="N18" s="6" t="n">
        <v>0</v>
      </c>
      <c r="O18" s="6" t="n">
        <v>3875.841223678495</v>
      </c>
      <c r="P18" s="6" t="n">
        <v>0</v>
      </c>
      <c r="Q18" s="6" t="n">
        <v>29635839.11430195</v>
      </c>
      <c r="R18" s="6" t="n">
        <v>0</v>
      </c>
      <c r="S18" t="inlineStr">
        <is>
          <t>SDE (fixed) (avg excl. idle AMM USDS)</t>
        </is>
      </c>
    </row>
    <row r="19">
      <c r="A19" t="inlineStr">
        <is>
          <t>S23</t>
        </is>
      </c>
      <c r="B19" t="inlineStr">
        <is>
          <t>Anchorage tri-party loan escrow (USDC pass-through, ~$0 balance)</t>
        </is>
      </c>
      <c r="C19" t="inlineStr">
        <is>
          <t>ethereum</t>
        </is>
      </c>
      <c r="D19" t="inlineStr">
        <is>
          <t>E</t>
        </is>
      </c>
      <c r="E19" s="6" t="n">
        <v>40137.360529</v>
      </c>
      <c r="F19" s="6" t="n">
        <v>1.367235</v>
      </c>
      <c r="G19" s="6" t="n">
        <v>-40135.993294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255930.9107552667</v>
      </c>
      <c r="M19" s="7" t="n">
        <v>1</v>
      </c>
      <c r="N19" s="6" t="n">
        <v>724.0191938474095</v>
      </c>
      <c r="O19" s="6" t="n">
        <v>724.0191938474095</v>
      </c>
      <c r="P19" s="6" t="n">
        <v>-724.0191938474095</v>
      </c>
      <c r="Q19" s="6" t="n">
        <v>0</v>
      </c>
      <c r="R19" s="6" t="n">
        <v>0</v>
      </c>
    </row>
    <row r="20">
      <c r="A20" t="inlineStr">
        <is>
          <t>S39</t>
        </is>
      </c>
      <c r="B20" t="inlineStr">
        <is>
          <t>USDC raw (Base — ALM idle)</t>
        </is>
      </c>
      <c r="C20" t="inlineStr">
        <is>
          <t>base</t>
        </is>
      </c>
      <c r="D20" t="inlineStr">
        <is>
          <t>A</t>
        </is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1468.586624033333</v>
      </c>
      <c r="M20" s="7" t="n">
        <v>1</v>
      </c>
      <c r="N20" s="6" t="n">
        <v>4.154577891704791</v>
      </c>
      <c r="O20" s="6" t="n">
        <v>4.154577891704791</v>
      </c>
      <c r="P20" s="6" t="n">
        <v>-4.154577891704791</v>
      </c>
      <c r="Q20" s="6" t="n">
        <v>0</v>
      </c>
      <c r="R20" s="6" t="n">
        <v>0</v>
      </c>
    </row>
    <row r="21">
      <c r="A21" t="inlineStr">
        <is>
          <t>S45</t>
        </is>
      </c>
      <c r="B21" t="inlineStr">
        <is>
          <t>USDC raw (Arbitrum — ALM idle)</t>
        </is>
      </c>
      <c r="C21" t="inlineStr">
        <is>
          <t>arbitrum</t>
        </is>
      </c>
      <c r="D21" t="inlineStr">
        <is>
          <t>A</t>
        </is>
      </c>
      <c r="E21" s="6" t="n">
        <v>2.08</v>
      </c>
      <c r="F21" s="6" t="n">
        <v>2.03</v>
      </c>
      <c r="G21" s="6" t="n">
        <v>-0.05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962.4027748666666</v>
      </c>
      <c r="M21" s="7" t="n">
        <v>1</v>
      </c>
      <c r="N21" s="6" t="n">
        <v>2.722602280276279</v>
      </c>
      <c r="O21" s="6" t="n">
        <v>2.722602280276279</v>
      </c>
      <c r="P21" s="6" t="n">
        <v>-2.722602280276279</v>
      </c>
      <c r="Q21" s="6" t="n">
        <v>0</v>
      </c>
      <c r="R21" s="6" t="n">
        <v>0</v>
      </c>
    </row>
    <row r="22">
      <c r="A22" t="inlineStr">
        <is>
          <t>S12</t>
        </is>
      </c>
      <c r="B22" t="inlineStr">
        <is>
          <t>Spark DAI Vault (Morpho)</t>
        </is>
      </c>
      <c r="C22" t="inlineStr">
        <is>
          <t>ethereum</t>
        </is>
      </c>
      <c r="D22" t="inlineStr">
        <is>
          <t>B</t>
        </is>
      </c>
      <c r="E22" s="6" t="n">
        <v>907.5387997189844</v>
      </c>
      <c r="F22" s="6" t="n">
        <v>1091.224531135664</v>
      </c>
      <c r="G22" s="6" t="n">
        <v>183.6857314166796</v>
      </c>
      <c r="H22" s="6" t="n">
        <v>183.6857314166796</v>
      </c>
      <c r="I22" s="6" t="n">
        <v>0</v>
      </c>
      <c r="J22" s="6" t="n">
        <v>183.6857314166796</v>
      </c>
      <c r="K22" s="6" t="n">
        <v>0</v>
      </c>
      <c r="L22" s="6" t="n">
        <v>907.5387997189844</v>
      </c>
      <c r="M22" s="7" t="n">
        <v>1</v>
      </c>
      <c r="N22" s="6" t="n">
        <v>2.567394099519739</v>
      </c>
      <c r="O22" s="6" t="n">
        <v>2.567394099519739</v>
      </c>
      <c r="P22" s="6" t="n">
        <v>181.1183373171599</v>
      </c>
      <c r="Q22" s="6" t="n">
        <v>0</v>
      </c>
      <c r="R22" s="6" t="n">
        <v>0</v>
      </c>
    </row>
    <row r="23">
      <c r="A23" t="inlineStr">
        <is>
          <t>S36</t>
        </is>
      </c>
      <c r="B23" t="inlineStr">
        <is>
          <t>Fluid Savings USDS (fsUSDS, Base)</t>
        </is>
      </c>
      <c r="C23" t="inlineStr">
        <is>
          <t>base</t>
        </is>
      </c>
      <c r="D23" t="inlineStr">
        <is>
          <t>B</t>
        </is>
      </c>
      <c r="E23" s="6" t="n">
        <v>283.8972488542868</v>
      </c>
      <c r="F23" s="6" t="n">
        <v>283.8972488542868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283.8972488542868</v>
      </c>
      <c r="M23" s="7" t="n">
        <v>1</v>
      </c>
      <c r="N23" s="6" t="n">
        <v>0.8031349423342302</v>
      </c>
      <c r="O23" s="6" t="n">
        <v>0.8031349423342302</v>
      </c>
      <c r="P23" s="6" t="n">
        <v>-0.8031349423342302</v>
      </c>
      <c r="Q23" s="6" t="n">
        <v>0</v>
      </c>
      <c r="R23" s="6" t="n">
        <v>0</v>
      </c>
    </row>
    <row r="24">
      <c r="A24" t="inlineStr">
        <is>
          <t>S55</t>
        </is>
      </c>
      <c r="B24" t="inlineStr">
        <is>
          <t>USDC raw (Avalanche-C — ALM idle)</t>
        </is>
      </c>
      <c r="C24" t="inlineStr">
        <is>
          <t>avalanche_c</t>
        </is>
      </c>
      <c r="D24" t="inlineStr">
        <is>
          <t>A</t>
        </is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178.3188656666667</v>
      </c>
      <c r="M24" s="7" t="n">
        <v>1</v>
      </c>
      <c r="N24" s="6" t="n">
        <v>0.5044575545281519</v>
      </c>
      <c r="O24" s="6" t="n">
        <v>0.5044575545281519</v>
      </c>
      <c r="P24" s="6" t="n">
        <v>-0.5044575545281519</v>
      </c>
      <c r="Q24" s="6" t="n">
        <v>0</v>
      </c>
      <c r="R24" s="6" t="n">
        <v>0</v>
      </c>
    </row>
    <row r="25">
      <c r="A25" t="inlineStr">
        <is>
          <t>S49</t>
        </is>
      </c>
      <c r="B25" t="inlineStr">
        <is>
          <t>USDC raw (Optimism — ALM idle)</t>
        </is>
      </c>
      <c r="C25" t="inlineStr">
        <is>
          <t>optimism</t>
        </is>
      </c>
      <c r="D25" t="inlineStr">
        <is>
          <t>A</t>
        </is>
      </c>
      <c r="E25" s="6" t="n">
        <v>3039.891609</v>
      </c>
      <c r="F25" s="6" t="n">
        <v>0</v>
      </c>
      <c r="G25" s="6" t="n">
        <v>-3039.891609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146.7413761333333</v>
      </c>
      <c r="M25" s="7" t="n">
        <v>1</v>
      </c>
      <c r="N25" s="6" t="n">
        <v>0.415125990598731</v>
      </c>
      <c r="O25" s="6" t="n">
        <v>0.415125990598731</v>
      </c>
      <c r="P25" s="6" t="n">
        <v>-0.415125990598731</v>
      </c>
      <c r="Q25" s="6" t="n">
        <v>0</v>
      </c>
      <c r="R25" s="6" t="n">
        <v>0</v>
      </c>
    </row>
    <row r="26">
      <c r="A26" t="inlineStr">
        <is>
          <t>S16</t>
        </is>
      </c>
      <c r="B26" t="inlineStr">
        <is>
          <t>Ethena Staked USDe (sUSDe)</t>
        </is>
      </c>
      <c r="C26" t="inlineStr">
        <is>
          <t>ethereum</t>
        </is>
      </c>
      <c r="D26" t="inlineStr">
        <is>
          <t>B</t>
        </is>
      </c>
      <c r="E26" s="6" t="n">
        <v>100.8102461380194</v>
      </c>
      <c r="F26" s="6" t="n">
        <v>101.2017120368429</v>
      </c>
      <c r="G26" s="6" t="n">
        <v>0.3914658988234815</v>
      </c>
      <c r="H26" s="6" t="n">
        <v>0.3914658988234815</v>
      </c>
      <c r="I26" s="6" t="n">
        <v>0</v>
      </c>
      <c r="J26" s="6" t="n">
        <v>0.3914658988234815</v>
      </c>
      <c r="K26" s="6" t="n">
        <v>0</v>
      </c>
      <c r="L26" s="6" t="n">
        <v>100.8102461380194</v>
      </c>
      <c r="M26" s="7" t="n">
        <v>1</v>
      </c>
      <c r="N26" s="6" t="n">
        <v>0.2851885023384411</v>
      </c>
      <c r="O26" s="6" t="n">
        <v>0.2851885023384411</v>
      </c>
      <c r="P26" s="6" t="n">
        <v>0.1062773964850405</v>
      </c>
      <c r="Q26" s="6" t="n">
        <v>0</v>
      </c>
      <c r="R26" s="6" t="n">
        <v>0</v>
      </c>
    </row>
    <row r="27">
      <c r="A27" t="inlineStr">
        <is>
          <t>S13</t>
        </is>
      </c>
      <c r="B27" t="inlineStr">
        <is>
          <t>Spark USDS Vault (Morpho)</t>
        </is>
      </c>
      <c r="C27" t="inlineStr">
        <is>
          <t>ethereum</t>
        </is>
      </c>
      <c r="D27" t="inlineStr">
        <is>
          <t>B</t>
        </is>
      </c>
      <c r="E27" s="6" t="n">
        <v>22.16728989737678</v>
      </c>
      <c r="F27" s="6" t="n">
        <v>22.1674058733521</v>
      </c>
      <c r="G27" s="6" t="n">
        <v>0.0001159759753238479</v>
      </c>
      <c r="H27" s="6" t="n">
        <v>0.0001159759753238479</v>
      </c>
      <c r="I27" s="6" t="n">
        <v>0</v>
      </c>
      <c r="J27" s="6" t="n">
        <v>0.0001159759753238479</v>
      </c>
      <c r="K27" s="6" t="n">
        <v>0</v>
      </c>
      <c r="L27" s="6" t="n">
        <v>22.16728989737678</v>
      </c>
      <c r="M27" s="7" t="n">
        <v>1</v>
      </c>
      <c r="N27" s="6" t="n">
        <v>0.06271045304343052</v>
      </c>
      <c r="O27" s="6" t="n">
        <v>0.06271045304343052</v>
      </c>
      <c r="P27" s="6" t="n">
        <v>-0.06259447706810667</v>
      </c>
      <c r="Q27" s="6" t="n">
        <v>0</v>
      </c>
      <c r="R27" s="6" t="n">
        <v>0</v>
      </c>
    </row>
    <row r="28">
      <c r="A28" t="inlineStr">
        <is>
          <t>S9</t>
        </is>
      </c>
      <c r="B28" t="inlineStr">
        <is>
          <t>Aave Ethereum USDT (aToken)</t>
        </is>
      </c>
      <c r="C28" t="inlineStr">
        <is>
          <t>ethereum</t>
        </is>
      </c>
      <c r="D28" t="inlineStr">
        <is>
          <t>C</t>
        </is>
      </c>
      <c r="E28" s="6" t="n">
        <v>5.953731</v>
      </c>
      <c r="F28" s="6" t="n">
        <v>5.971376</v>
      </c>
      <c r="G28" s="6" t="n">
        <v>0.017645</v>
      </c>
      <c r="H28" s="6" t="n">
        <v>0.017645</v>
      </c>
      <c r="I28" s="6" t="n">
        <v>0</v>
      </c>
      <c r="J28" s="6" t="n">
        <v>0.017645</v>
      </c>
      <c r="K28" s="6" t="n">
        <v>0</v>
      </c>
      <c r="L28" s="6" t="n">
        <v>5.953731</v>
      </c>
      <c r="M28" s="7" t="n">
        <v>1</v>
      </c>
      <c r="N28" s="6" t="n">
        <v>0.01684288742724925</v>
      </c>
      <c r="O28" s="6" t="n">
        <v>0.01684288742724925</v>
      </c>
      <c r="P28" s="6" t="n">
        <v>0.0008021125727507489</v>
      </c>
      <c r="Q28" s="6" t="n">
        <v>0</v>
      </c>
      <c r="R28" s="6" t="n">
        <v>0</v>
      </c>
    </row>
    <row r="29">
      <c r="A29" t="inlineStr">
        <is>
          <t>S25</t>
        </is>
      </c>
      <c r="B29" t="inlineStr">
        <is>
          <t>Spark.fi PYUSD Reserve Curve (PYUSD/USDS)</t>
        </is>
      </c>
      <c r="C29" t="inlineStr">
        <is>
          <t>ethereum</t>
        </is>
      </c>
      <c r="D29" t="inlineStr">
        <is>
          <t>F</t>
        </is>
      </c>
      <c r="E29" s="6" t="n">
        <v>3.882840172509015</v>
      </c>
      <c r="F29" s="6" t="n">
        <v>3.88330436564981</v>
      </c>
      <c r="G29" s="6" t="n">
        <v>0.0004641931407952366</v>
      </c>
      <c r="H29" s="6" t="n">
        <v>0.0004641931407952366</v>
      </c>
      <c r="I29" s="6" t="n">
        <v>0</v>
      </c>
      <c r="J29" s="6" t="n">
        <v>0.0004641931407952366</v>
      </c>
      <c r="K29" s="6" t="n">
        <v>0</v>
      </c>
      <c r="L29" s="6" t="n">
        <v>3.882840172509015</v>
      </c>
      <c r="M29" s="7" t="n">
        <v>1</v>
      </c>
      <c r="N29" s="6" t="n">
        <v>0.01098441295442646</v>
      </c>
      <c r="O29" s="6" t="n">
        <v>0.01098441295442646</v>
      </c>
      <c r="P29" s="6" t="n">
        <v>-0.01052021981363122</v>
      </c>
      <c r="Q29" s="6" t="n">
        <v>0</v>
      </c>
      <c r="R29" s="6" t="n">
        <v>0</v>
      </c>
    </row>
    <row r="30">
      <c r="A30" t="inlineStr">
        <is>
          <t>S24</t>
        </is>
      </c>
      <c r="B30" t="inlineStr">
        <is>
          <t>Spark.fi USDT Reserve Curve (sUSDS/USDT)</t>
        </is>
      </c>
      <c r="C30" t="inlineStr">
        <is>
          <t>ethereum</t>
        </is>
      </c>
      <c r="D30" t="inlineStr">
        <is>
          <t>F</t>
        </is>
      </c>
      <c r="E30" s="6" t="n">
        <v>0.8298484399352527</v>
      </c>
      <c r="F30" s="6" t="n">
        <v>0.8392619557395509</v>
      </c>
      <c r="G30" s="6" t="n">
        <v>0.009413515804298108</v>
      </c>
      <c r="H30" s="6" t="n">
        <v>0.008700428167360377</v>
      </c>
      <c r="I30" s="6" t="n">
        <v>0.0007130876369377308</v>
      </c>
      <c r="J30" s="6" t="n">
        <v>0.0007130876369377308</v>
      </c>
      <c r="K30" s="6" t="n">
        <v>0.008700428167360377</v>
      </c>
      <c r="L30" s="6" t="n">
        <v>0.8298484399352527</v>
      </c>
      <c r="M30" s="7" t="n">
        <v>0</v>
      </c>
      <c r="N30" s="6" t="n">
        <v>0</v>
      </c>
      <c r="O30" s="6" t="n">
        <v>0.008700428167360377</v>
      </c>
      <c r="P30" s="6" t="n">
        <v>0.0007130876369377308</v>
      </c>
      <c r="Q30" s="6" t="n">
        <v>0.8298484399352527</v>
      </c>
      <c r="R30" s="6" t="n">
        <v>0</v>
      </c>
      <c r="S30" t="inlineStr">
        <is>
          <t>SDE (fixed)</t>
        </is>
      </c>
    </row>
    <row r="31">
      <c r="A31" t="inlineStr">
        <is>
          <t>S11</t>
        </is>
      </c>
      <c r="B31" t="inlineStr">
        <is>
          <t>Spark Blue Chip USDT Vault (Morpho — pre-2026-06 deployment)</t>
        </is>
      </c>
      <c r="C31" t="inlineStr">
        <is>
          <t>ethereum</t>
        </is>
      </c>
      <c r="D31" t="inlineStr">
        <is>
          <t>B</t>
        </is>
      </c>
      <c r="E31" s="6" t="n">
        <v>1.762330143465235</v>
      </c>
      <c r="F31" s="6" t="n">
        <v>1.766602634051488</v>
      </c>
      <c r="G31" s="6" t="n">
        <v>0.004272490586253392</v>
      </c>
      <c r="H31" s="6" t="n">
        <v>0.004272490586253392</v>
      </c>
      <c r="I31" s="6" t="n">
        <v>0</v>
      </c>
      <c r="J31" s="6" t="n">
        <v>0.004272490586253392</v>
      </c>
      <c r="K31" s="6" t="n">
        <v>0</v>
      </c>
      <c r="L31" s="6" t="n">
        <v>1.762330143465235</v>
      </c>
      <c r="M31" s="7" t="n">
        <v>1</v>
      </c>
      <c r="N31" s="6" t="n">
        <v>0.004985567573683288</v>
      </c>
      <c r="O31" s="6" t="n">
        <v>0.004985567573683288</v>
      </c>
      <c r="P31" s="6" t="n">
        <v>-0.0007130769874298964</v>
      </c>
      <c r="Q31" s="6" t="n">
        <v>0</v>
      </c>
      <c r="R31" s="6" t="n">
        <v>0</v>
      </c>
    </row>
    <row r="32">
      <c r="A32" t="inlineStr">
        <is>
          <t>S54</t>
        </is>
      </c>
      <c r="B32" t="inlineStr">
        <is>
          <t>Aave Avalanche USDC (aAvaUSDC)</t>
        </is>
      </c>
      <c r="C32" t="inlineStr">
        <is>
          <t>avalanche_c</t>
        </is>
      </c>
      <c r="D32" t="inlineStr">
        <is>
          <t>C</t>
        </is>
      </c>
      <c r="E32" s="6" t="n">
        <v>0.156574</v>
      </c>
      <c r="F32" s="6" t="n">
        <v>0.157194</v>
      </c>
      <c r="G32" s="6" t="n">
        <v>0.00062</v>
      </c>
      <c r="H32" s="6" t="n">
        <v>0.00062</v>
      </c>
      <c r="I32" s="6" t="n">
        <v>0</v>
      </c>
      <c r="J32" s="6" t="n">
        <v>0.00062</v>
      </c>
      <c r="K32" s="6" t="n">
        <v>0</v>
      </c>
      <c r="L32" s="6" t="n">
        <v>0.156574</v>
      </c>
      <c r="M32" s="7" t="n">
        <v>1</v>
      </c>
      <c r="N32" s="6" t="n">
        <v>0.0004429421241964281</v>
      </c>
      <c r="O32" s="6" t="n">
        <v>0.0004429421241964281</v>
      </c>
      <c r="P32" s="6" t="n">
        <v>0.0001770578758035719</v>
      </c>
      <c r="Q32" s="6" t="n">
        <v>0</v>
      </c>
      <c r="R32" s="6" t="n">
        <v>0</v>
      </c>
    </row>
    <row r="33">
      <c r="A33" t="inlineStr">
        <is>
          <t>S27</t>
        </is>
      </c>
      <c r="B33" t="inlineStr">
        <is>
          <t>USDT raw (ALM idle — $442M as of 2026-04)</t>
        </is>
      </c>
      <c r="C33" t="inlineStr">
        <is>
          <t>ethereum</t>
        </is>
      </c>
      <c r="D33" t="inlineStr">
        <is>
          <t>A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0.1180892666666667</v>
      </c>
      <c r="M33" s="7" t="n">
        <v>1</v>
      </c>
      <c r="N33" s="6" t="n">
        <v>0.0003340702199735064</v>
      </c>
      <c r="O33" s="6" t="n">
        <v>0.0003340702199735064</v>
      </c>
      <c r="P33" s="6" t="n">
        <v>-0.0003340702199735064</v>
      </c>
      <c r="Q33" s="6" t="n">
        <v>0</v>
      </c>
      <c r="R33" s="6" t="n">
        <v>0</v>
      </c>
    </row>
    <row r="34">
      <c r="A34" t="inlineStr">
        <is>
          <t>S8</t>
        </is>
      </c>
      <c r="B34" t="inlineStr">
        <is>
          <t>Aave Ethereum USDC (aToken)</t>
        </is>
      </c>
      <c r="C34" t="inlineStr">
        <is>
          <t>ethereum</t>
        </is>
      </c>
      <c r="D34" t="inlineStr">
        <is>
          <t>C</t>
        </is>
      </c>
      <c r="E34" s="6" t="n">
        <v>0.058479</v>
      </c>
      <c r="F34" s="6" t="n">
        <v>0.058664</v>
      </c>
      <c r="G34" s="6" t="n">
        <v>0.000185</v>
      </c>
      <c r="H34" s="6" t="n">
        <v>0.000185</v>
      </c>
      <c r="I34" s="6" t="n">
        <v>0</v>
      </c>
      <c r="J34" s="6" t="n">
        <v>0.000185</v>
      </c>
      <c r="K34" s="6" t="n">
        <v>0</v>
      </c>
      <c r="L34" s="6" t="n">
        <v>0.058479</v>
      </c>
      <c r="M34" s="7" t="n">
        <v>1</v>
      </c>
      <c r="N34" s="6" t="n">
        <v>0.0001654349539571252</v>
      </c>
      <c r="O34" s="6" t="n">
        <v>0.0001654349539571252</v>
      </c>
      <c r="P34" s="6" t="n">
        <v>1.95650460428748e-05</v>
      </c>
      <c r="Q34" s="6" t="n">
        <v>0</v>
      </c>
      <c r="R34" s="6" t="n">
        <v>0</v>
      </c>
    </row>
    <row r="35">
      <c r="A35" t="inlineStr">
        <is>
          <t>S41</t>
        </is>
      </c>
      <c r="B35" t="inlineStr">
        <is>
          <t>Aave Arbitrum USDCn (aArbUSDCn)</t>
        </is>
      </c>
      <c r="C35" t="inlineStr">
        <is>
          <t>arbitrum</t>
        </is>
      </c>
      <c r="D35" t="inlineStr">
        <is>
          <t>C</t>
        </is>
      </c>
      <c r="E35" s="6" t="n">
        <v>0.006402</v>
      </c>
      <c r="F35" s="6" t="n">
        <v>0.006417</v>
      </c>
      <c r="G35" s="6" t="n">
        <v>1.5e-05</v>
      </c>
      <c r="H35" s="6" t="n">
        <v>1.5e-05</v>
      </c>
      <c r="I35" s="6" t="n">
        <v>0</v>
      </c>
      <c r="J35" s="6" t="n">
        <v>1.5e-05</v>
      </c>
      <c r="K35" s="6" t="n">
        <v>0</v>
      </c>
      <c r="L35" s="6" t="n">
        <v>0.006402</v>
      </c>
      <c r="M35" s="7" t="n">
        <v>1</v>
      </c>
      <c r="N35" s="6" t="n">
        <v>1.811102404681194e-05</v>
      </c>
      <c r="O35" s="6" t="n">
        <v>1.811102404681194e-05</v>
      </c>
      <c r="P35" s="6" t="n">
        <v>-3.111024046811941e-06</v>
      </c>
      <c r="Q35" s="6" t="n">
        <v>0</v>
      </c>
      <c r="R35" s="6" t="n">
        <v>0</v>
      </c>
    </row>
    <row r="36">
      <c r="A36" t="inlineStr">
        <is>
          <t>S7</t>
        </is>
      </c>
      <c r="B36" t="inlineStr">
        <is>
          <t>Aave Ethereum USDS (aToken)</t>
        </is>
      </c>
      <c r="C36" t="inlineStr">
        <is>
          <t>ethereum</t>
        </is>
      </c>
      <c r="D36" t="inlineStr">
        <is>
          <t>C</t>
        </is>
      </c>
      <c r="E36" s="6" t="n">
        <v>0.005749186661712982</v>
      </c>
      <c r="F36" s="6" t="n">
        <v>0.005749998097404683</v>
      </c>
      <c r="G36" s="6" t="n">
        <v>8.11435691701e-07</v>
      </c>
      <c r="H36" s="6" t="n">
        <v>8.11435691701e-07</v>
      </c>
      <c r="I36" s="6" t="n">
        <v>0</v>
      </c>
      <c r="J36" s="6" t="n">
        <v>8.11435691701e-07</v>
      </c>
      <c r="K36" s="6" t="n">
        <v>0</v>
      </c>
      <c r="L36" s="6" t="n">
        <v>0.005749186661712982</v>
      </c>
      <c r="M36" s="7" t="n">
        <v>1</v>
      </c>
      <c r="N36" s="6" t="n">
        <v>1.626423896905565e-05</v>
      </c>
      <c r="O36" s="6" t="n">
        <v>1.626423896905565e-05</v>
      </c>
      <c r="P36" s="6" t="n">
        <v>-1.545280327735465e-05</v>
      </c>
      <c r="Q36" s="6" t="n">
        <v>0</v>
      </c>
      <c r="R36" s="6" t="n">
        <v>0</v>
      </c>
    </row>
    <row r="37">
      <c r="A37" t="inlineStr">
        <is>
          <t>S35</t>
        </is>
      </c>
      <c r="B37" t="inlineStr">
        <is>
          <t>Aave Base USDC (aBasUSDC)</t>
        </is>
      </c>
      <c r="C37" t="inlineStr">
        <is>
          <t>base</t>
        </is>
      </c>
      <c r="D37" t="inlineStr">
        <is>
          <t>C</t>
        </is>
      </c>
      <c r="E37" s="6" t="n">
        <v>0.001719</v>
      </c>
      <c r="F37" s="6" t="n">
        <v>0.001724</v>
      </c>
      <c r="G37" s="6" t="n">
        <v>5e-06</v>
      </c>
      <c r="H37" s="6" t="n">
        <v>5e-06</v>
      </c>
      <c r="I37" s="6" t="n">
        <v>0</v>
      </c>
      <c r="J37" s="6" t="n">
        <v>5e-06</v>
      </c>
      <c r="K37" s="6" t="n">
        <v>0</v>
      </c>
      <c r="L37" s="6" t="n">
        <v>0.001719</v>
      </c>
      <c r="M37" s="7" t="n">
        <v>1</v>
      </c>
      <c r="N37" s="6" t="n">
        <v>4.862988181266749e-06</v>
      </c>
      <c r="O37" s="6" t="n">
        <v>4.862988181266749e-06</v>
      </c>
      <c r="P37" s="6" t="n">
        <v>1.37011818733251e-07</v>
      </c>
      <c r="Q37" s="6" t="n">
        <v>0</v>
      </c>
      <c r="R37" s="6" t="n">
        <v>0</v>
      </c>
    </row>
    <row r="38">
      <c r="A38" t="inlineStr">
        <is>
          <t>S17</t>
        </is>
      </c>
      <c r="B38" t="inlineStr">
        <is>
          <t>Fluid Savings USDS (fsUSDS)</t>
        </is>
      </c>
      <c r="C38" t="inlineStr">
        <is>
          <t>ethereum</t>
        </is>
      </c>
      <c r="D38" t="inlineStr">
        <is>
          <t>B</t>
        </is>
      </c>
      <c r="E38" s="6" t="n">
        <v>0.001240144670509943</v>
      </c>
      <c r="F38" s="6" t="n">
        <v>0.001240144670509943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0.001240144670509943</v>
      </c>
      <c r="M38" s="7" t="n">
        <v>1</v>
      </c>
      <c r="N38" s="6" t="n">
        <v>3.508323953316347e-06</v>
      </c>
      <c r="O38" s="6" t="n">
        <v>3.508323953316347e-06</v>
      </c>
      <c r="P38" s="6" t="n">
        <v>-3.508323953316347e-06</v>
      </c>
      <c r="Q38" s="6" t="n">
        <v>0</v>
      </c>
      <c r="R38" s="6" t="n">
        <v>0</v>
      </c>
    </row>
    <row r="39">
      <c r="A39" t="inlineStr">
        <is>
          <t>S6</t>
        </is>
      </c>
      <c r="B39" t="inlineStr">
        <is>
          <t>Aave Ethereum Lido USDS (aToken)</t>
        </is>
      </c>
      <c r="C39" t="inlineStr">
        <is>
          <t>ethereum</t>
        </is>
      </c>
      <c r="D39" t="inlineStr">
        <is>
          <t>C</t>
        </is>
      </c>
      <c r="E39" s="6" t="n">
        <v>0.000522802561158111</v>
      </c>
      <c r="F39" s="6" t="n">
        <v>0.000523116949023306</v>
      </c>
      <c r="G39" s="6" t="n">
        <v>3.14387865195e-07</v>
      </c>
      <c r="H39" s="6" t="n">
        <v>3.14387865195e-07</v>
      </c>
      <c r="I39" s="6" t="n">
        <v>0</v>
      </c>
      <c r="J39" s="6" t="n">
        <v>3.14387865195e-07</v>
      </c>
      <c r="K39" s="6" t="n">
        <v>0</v>
      </c>
      <c r="L39" s="6" t="n">
        <v>0.000522802561158111</v>
      </c>
      <c r="M39" s="7" t="n">
        <v>1</v>
      </c>
      <c r="N39" s="6" t="n">
        <v>1.47898934034199e-06</v>
      </c>
      <c r="O39" s="6" t="n">
        <v>1.47898934034199e-06</v>
      </c>
      <c r="P39" s="6" t="n">
        <v>-1.16460147514699e-06</v>
      </c>
      <c r="Q39" s="6" t="n">
        <v>0</v>
      </c>
      <c r="R39" s="6" t="n">
        <v>0</v>
      </c>
    </row>
    <row r="40">
      <c r="A40" t="inlineStr">
        <is>
          <t>S30</t>
        </is>
      </c>
      <c r="B40" t="inlineStr">
        <is>
          <t>USDe raw (ALM idle)</t>
        </is>
      </c>
      <c r="C40" t="inlineStr">
        <is>
          <t>ethereum</t>
        </is>
      </c>
      <c r="D40" t="inlineStr">
        <is>
          <t>A</t>
        </is>
      </c>
      <c r="E40" s="6" t="n">
        <v>7.4896275897803e-05</v>
      </c>
      <c r="F40" s="6" t="n">
        <v>7.4896275897803e-05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7.4896275897803e-05</v>
      </c>
      <c r="M40" s="7" t="n">
        <v>1</v>
      </c>
      <c r="N40" s="6" t="n">
        <v>2.118788275229259e-07</v>
      </c>
      <c r="O40" s="6" t="n">
        <v>2.118788275229259e-07</v>
      </c>
      <c r="P40" s="6" t="n">
        <v>-2.118788275229259e-07</v>
      </c>
      <c r="Q40" s="6" t="n">
        <v>0</v>
      </c>
      <c r="R40" s="6" t="n">
        <v>0</v>
      </c>
    </row>
    <row r="41">
      <c r="A41" t="inlineStr">
        <is>
          <t>S14</t>
        </is>
      </c>
      <c r="B41" t="inlineStr">
        <is>
          <t>Maple syrupUSDC (ERC-4626)</t>
        </is>
      </c>
      <c r="C41" t="inlineStr">
        <is>
          <t>ethereum</t>
        </is>
      </c>
      <c r="D41" t="inlineStr">
        <is>
          <t>B</t>
        </is>
      </c>
      <c r="E41" s="6" t="n">
        <v>1.18094e-06</v>
      </c>
      <c r="F41" s="6" t="n">
        <v>1.185745e-06</v>
      </c>
      <c r="G41" s="6" t="n">
        <v>4.805e-09</v>
      </c>
      <c r="H41" s="6" t="n">
        <v>4.805e-09</v>
      </c>
      <c r="I41" s="6" t="n">
        <v>0</v>
      </c>
      <c r="J41" s="6" t="n">
        <v>4.805e-09</v>
      </c>
      <c r="K41" s="6" t="n">
        <v>0</v>
      </c>
      <c r="L41" s="6" t="n">
        <v>1.18094e-06</v>
      </c>
      <c r="M41" s="7" t="n">
        <v>1</v>
      </c>
      <c r="N41" s="6" t="n">
        <v>3.340836104005325e-09</v>
      </c>
      <c r="O41" s="6" t="n">
        <v>3.340836104005325e-09</v>
      </c>
      <c r="P41" s="6" t="n">
        <v>1.464163895994674e-09</v>
      </c>
      <c r="Q41" s="6" t="n">
        <v>0</v>
      </c>
      <c r="R41" s="6" t="n">
        <v>0</v>
      </c>
    </row>
    <row r="42">
      <c r="A42" t="inlineStr">
        <is>
          <t>S15</t>
        </is>
      </c>
      <c r="B42" t="inlineStr">
        <is>
          <t>Maple syrupUSDT (ERC-4626)</t>
        </is>
      </c>
      <c r="C42" t="inlineStr">
        <is>
          <t>ethereum</t>
        </is>
      </c>
      <c r="D42" t="inlineStr">
        <is>
          <t>B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</row>
    <row r="43">
      <c r="A43" t="inlineStr">
        <is>
          <t>S19</t>
        </is>
      </c>
      <c r="B43" t="inlineStr">
        <is>
          <t>BlackRock USD Institutional Digital Liquidity Fund (BUIDL-I)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</row>
    <row r="44">
      <c r="A44" t="inlineStr">
        <is>
          <t>S20</t>
        </is>
      </c>
      <c r="B44" t="inlineStr">
        <is>
          <t>Janus Henderson Anemoy Treasury Fund (JTRSY)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1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</row>
    <row r="45">
      <c r="A45" t="inlineStr">
        <is>
          <t>S21</t>
        </is>
      </c>
      <c r="B45" t="inlineStr">
        <is>
          <t>Superstate Short Duration US Government Securities Fund (USTB)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>
        <is>
          <t>SDE (fixed)</t>
        </is>
      </c>
    </row>
    <row r="46">
      <c r="A46" t="inlineStr">
        <is>
          <t>S22</t>
        </is>
      </c>
      <c r="B46" t="inlineStr">
        <is>
          <t>Superstate Crypto Carry Fund (USCC)</t>
        </is>
      </c>
      <c r="C46" t="inlineStr">
        <is>
          <t>ethereum</t>
        </is>
      </c>
      <c r="D46" t="inlineStr">
        <is>
          <t>E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</row>
    <row r="47">
      <c r="A47" t="inlineStr">
        <is>
          <t>S26</t>
        </is>
      </c>
      <c r="B47" t="inlineStr">
        <is>
          <t>USDC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984135</v>
      </c>
      <c r="I47" s="6" t="n">
        <v>0</v>
      </c>
      <c r="J47" s="6" t="n">
        <v>984135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984135</v>
      </c>
      <c r="Q47" s="6" t="n">
        <v>0</v>
      </c>
      <c r="R47" s="6" t="n">
        <v>0</v>
      </c>
    </row>
    <row r="48">
      <c r="A48" t="inlineStr">
        <is>
          <t>S29</t>
        </is>
      </c>
      <c r="B48" t="inlineStr">
        <is>
          <t>DAI raw (ALM idle)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7" t="n">
        <v>1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</row>
    <row r="49">
      <c r="A49" t="inlineStr">
        <is>
          <t>S31</t>
        </is>
      </c>
      <c r="B49" t="inlineStr">
        <is>
          <t>USDS raw / POL (ALM idle — already netted out of utilized)</t>
        </is>
      </c>
      <c r="C49" t="inlineStr">
        <is>
          <t>ethereum</t>
        </is>
      </c>
      <c r="D49" t="inlineStr">
        <is>
          <t>A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S37</t>
        </is>
      </c>
      <c r="B50" t="inlineStr">
        <is>
          <t>Savings USDS / sUSDS proxy (Base — POL)</t>
        </is>
      </c>
      <c r="C50" t="inlineStr">
        <is>
          <t>base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</row>
    <row r="51">
      <c r="A51" t="inlineStr">
        <is>
          <t>S38</t>
        </is>
      </c>
      <c r="B51" t="inlineStr">
        <is>
          <t>USDS raw (Base — POL)</t>
        </is>
      </c>
      <c r="C51" t="inlineStr">
        <is>
          <t>base</t>
        </is>
      </c>
      <c r="D51" t="inlineStr">
        <is>
          <t>A</t>
        </is>
      </c>
      <c r="E51" s="6" t="n">
        <v>0</v>
      </c>
      <c r="F51" s="6" t="n">
        <v>1778866.820550583</v>
      </c>
      <c r="G51" s="6" t="n">
        <v>1778866.820550583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296477.8034250973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296477.8034250973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S42</t>
        </is>
      </c>
      <c r="B52" t="inlineStr">
        <is>
          <t>Fluid Savings USDS (fsUSDS, Arbitrum)</t>
        </is>
      </c>
      <c r="C52" t="inlineStr">
        <is>
          <t>arbitrum</t>
        </is>
      </c>
      <c r="D52" t="inlineStr">
        <is>
          <t>B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7" t="n">
        <v>1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</row>
    <row r="53">
      <c r="A53" t="inlineStr">
        <is>
          <t>S44</t>
        </is>
      </c>
      <c r="B53" t="inlineStr">
        <is>
          <t>USDS raw (Arbitrum — POL)</t>
        </is>
      </c>
      <c r="C53" t="inlineStr">
        <is>
          <t>arbitrum</t>
        </is>
      </c>
      <c r="D53" t="inlineStr">
        <is>
          <t>A</t>
        </is>
      </c>
      <c r="E53" s="6" t="n">
        <v>90000000</v>
      </c>
      <c r="F53" s="6" t="n">
        <v>99326272.7790609</v>
      </c>
      <c r="G53" s="6" t="n">
        <v>9326272.7790609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91554378.79651015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91554378.79651015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S47</t>
        </is>
      </c>
      <c r="B54" t="inlineStr">
        <is>
          <t>Savings USDS / sUSDS proxy (Optimism — POL)</t>
        </is>
      </c>
      <c r="C54" t="inlineStr">
        <is>
          <t>optimism</t>
        </is>
      </c>
      <c r="D54" t="inlineStr">
        <is>
          <t>B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</row>
    <row r="55">
      <c r="A55" t="inlineStr">
        <is>
          <t>S48</t>
        </is>
      </c>
      <c r="B55" t="inlineStr">
        <is>
          <t>USDS raw (Optimism — POL)</t>
        </is>
      </c>
      <c r="C55" t="inlineStr">
        <is>
          <t>optimism</t>
        </is>
      </c>
      <c r="D55" t="inlineStr">
        <is>
          <t>A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7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t="inlineStr">
        <is>
          <t>CoF excluded (already deducted from utilized)</t>
        </is>
      </c>
    </row>
    <row r="56">
      <c r="A56" t="inlineStr">
        <is>
          <t>S51</t>
        </is>
      </c>
      <c r="B56" t="inlineStr">
        <is>
          <t>Savings USDS / sUSDS proxy (Unichain — POL)</t>
        </is>
      </c>
      <c r="C56" t="inlineStr">
        <is>
          <t>unichain</t>
        </is>
      </c>
      <c r="D56" t="inlineStr">
        <is>
          <t>B</t>
        </is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7" t="n">
        <v>1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</row>
    <row r="57">
      <c r="A57" t="inlineStr">
        <is>
          <t>S52</t>
        </is>
      </c>
      <c r="B57" t="inlineStr">
        <is>
          <t>USDS raw (Unichain — POL)</t>
        </is>
      </c>
      <c r="C57" t="inlineStr">
        <is>
          <t>unichain</t>
        </is>
      </c>
      <c r="D57" t="inlineStr">
        <is>
          <t>A</t>
        </is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7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t="inlineStr">
        <is>
          <t>CoF excluded (already deducted from utilized)</t>
        </is>
      </c>
    </row>
    <row r="58">
      <c r="A58" t="inlineStr">
        <is>
          <t>S53</t>
        </is>
      </c>
      <c r="B58" t="inlineStr">
        <is>
          <t>USDC raw (Unichain — ALM idle)</t>
        </is>
      </c>
      <c r="C58" t="inlineStr">
        <is>
          <t>unichain</t>
        </is>
      </c>
      <c r="D58" t="inlineStr">
        <is>
          <t>A</t>
        </is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7" t="n">
        <v>1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</row>
    <row r="59">
      <c r="A59" t="inlineStr">
        <is>
          <t>PSM_CURVE_DEDUCT</t>
        </is>
      </c>
      <c r="B59" t="inlineStr">
        <is>
          <t>PSM3 USDS + PSM3 USDC (SDE) + Curve idle USDS — BR deduction (unattributed)</t>
        </is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7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61">
      <c r="A61" s="8" t="inlineStr">
        <is>
          <t>Position-only venues (PnL aggregated at prime level)</t>
        </is>
      </c>
    </row>
    <row r="62">
      <c r="A62" s="2" t="inlineStr">
        <is>
          <t>Venue</t>
        </is>
      </c>
      <c r="B62" s="2" t="inlineStr">
        <is>
          <t>Label</t>
        </is>
      </c>
      <c r="C62" s="2" t="inlineStr">
        <is>
          <t>Chain</t>
        </is>
      </c>
      <c r="D62" s="2" t="inlineStr">
        <is>
          <t>Pricing cat.</t>
        </is>
      </c>
      <c r="E62" s="2" t="inlineStr">
        <is>
          <t>Position SoM</t>
        </is>
      </c>
      <c r="F62" s="2" t="inlineStr">
        <is>
          <t>Position EoM</t>
        </is>
      </c>
    </row>
    <row r="63">
      <c r="A63" t="inlineStr">
        <is>
          <t>S56</t>
        </is>
      </c>
      <c r="B63" t="inlineStr">
        <is>
          <t>Spark Savings V2 — spUSDC vault</t>
        </is>
      </c>
      <c r="C63" t="inlineStr">
        <is>
          <t>ethereum</t>
        </is>
      </c>
      <c r="D63" t="inlineStr">
        <is>
          <t>S2</t>
        </is>
      </c>
      <c r="E63" s="6" t="n">
        <v>309261582.801972</v>
      </c>
      <c r="F63" s="6" t="n">
        <v>300586529.588196</v>
      </c>
    </row>
    <row r="64">
      <c r="A64" t="inlineStr">
        <is>
          <t>S57</t>
        </is>
      </c>
      <c r="B64" t="inlineStr">
        <is>
          <t>Spark Savings V2 — spUSDT vault</t>
        </is>
      </c>
      <c r="C64" t="inlineStr">
        <is>
          <t>ethereum</t>
        </is>
      </c>
      <c r="D64" t="inlineStr">
        <is>
          <t>S2</t>
        </is>
      </c>
      <c r="E64" s="6" t="n">
        <v>367530003.125796</v>
      </c>
      <c r="F64" s="6" t="n">
        <v>447000057.62485</v>
      </c>
    </row>
    <row r="65">
      <c r="A65" t="inlineStr">
        <is>
          <t>S59</t>
        </is>
      </c>
      <c r="B65" t="inlineStr">
        <is>
          <t>Spark Savings V2 — spPYUSD vault</t>
        </is>
      </c>
      <c r="C65" t="inlineStr">
        <is>
          <t>ethereum</t>
        </is>
      </c>
      <c r="D65" t="inlineStr">
        <is>
          <t>S2</t>
        </is>
      </c>
      <c r="E65" s="6" t="n">
        <v>230753.271254</v>
      </c>
      <c r="F65" s="6" t="n">
        <v>31037.026892</v>
      </c>
    </row>
    <row r="66">
      <c r="A66" t="inlineStr">
        <is>
          <t>S60</t>
        </is>
      </c>
      <c r="B66" t="inlineStr">
        <is>
          <t>Spark Savings V2 — spUSDC vault (Avalanche-C, CREATE2 same address)</t>
        </is>
      </c>
      <c r="C66" t="inlineStr">
        <is>
          <t>avalanche_c</t>
        </is>
      </c>
      <c r="D66" t="inlineStr">
        <is>
          <t>S2</t>
        </is>
      </c>
      <c r="E66" s="6" t="n">
        <v>9475726.147763001</v>
      </c>
      <c r="F66" s="6" t="n">
        <v>8678568.642703</v>
      </c>
    </row>
    <row r="67">
      <c r="B67" s="5" t="inlineStr">
        <is>
          <t>Aggregated actual_revenue (included in prime_agent_revenue, not in Venues body above)</t>
        </is>
      </c>
      <c r="F67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8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6" t="n">
        <v>2687080256.868631</v>
      </c>
    </row>
    <row r="6">
      <c r="A6" t="inlineStr">
        <is>
          <t xml:space="preserve">  — first $1B (subsidised tranche)</t>
        </is>
      </c>
      <c r="B6" s="6" t="n">
        <v>1000000000</v>
      </c>
    </row>
    <row r="7">
      <c r="A7" t="inlineStr">
        <is>
          <t xml:space="preserve">  — excess (full base-rate tranche)</t>
        </is>
      </c>
      <c r="B7" s="6" t="n">
        <v>1687080256.868631</v>
      </c>
    </row>
    <row r="8">
      <c r="A8" t="inlineStr">
        <is>
          <t>Base rate (BR_apr = apy_to_apr(SSR,12) + spread; 30bps, 20bps from 2026-07-23), period avg</t>
        </is>
      </c>
      <c r="B8" s="7" t="n">
        <v>0.03737387237537716</v>
      </c>
    </row>
    <row r="9">
      <c r="A9" t="inlineStr">
        <is>
          <t>Reference rate (tbill_3m→sofr@2026-07-23), period avg</t>
        </is>
      </c>
      <c r="B9" s="7" t="n">
        <v>0.03748</v>
      </c>
    </row>
    <row r="10">
      <c r="A10" t="inlineStr">
        <is>
          <t>Subsidised rate (BR*), period avg</t>
        </is>
      </c>
      <c r="B10" s="7" t="n">
        <v>0.03703300982840613</v>
      </c>
    </row>
    <row r="11">
      <c r="A11" s="8" t="inlineStr">
        <is>
          <t>Effective blended rate charged</t>
        </is>
      </c>
      <c r="B11" s="10" t="n">
        <v>0.03724932945187823</v>
      </c>
    </row>
    <row r="12">
      <c r="A12" s="8" t="inlineStr">
        <is>
          <t>Diff vs base rate (bps)</t>
        </is>
      </c>
      <c r="B12" s="11" t="n">
        <v>-1.245429234989398</v>
      </c>
    </row>
    <row r="13">
      <c r="A13" s="8" t="inlineStr">
        <is>
          <t>Subsidy benefit to prime (USD)</t>
        </is>
      </c>
      <c r="B13" s="12" t="n">
        <v>27506.04089315324</v>
      </c>
    </row>
    <row r="15">
      <c r="A15" t="inlineStr">
        <is>
          <t>CoF at full base rate (no subsidy)</t>
        </is>
      </c>
      <c r="B15" s="3" t="n">
        <v>8254240.650624979</v>
      </c>
    </row>
    <row r="16">
      <c r="A16" t="inlineStr">
        <is>
          <t xml:space="preserve">  − actual CoF (subsidy on first tranche)</t>
        </is>
      </c>
      <c r="B16" s="3" t="n">
        <v>8226734.609731826</v>
      </c>
    </row>
    <row r="17">
      <c r="A17" s="8" t="inlineStr">
        <is>
          <t xml:space="preserve">  = subsidy benefit</t>
        </is>
      </c>
      <c r="B17" s="12" t="n">
        <v>27506.04089315324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6" t="n">
        <v>1000000000</v>
      </c>
      <c r="C20" s="3" t="n">
        <v>3043809.026992285</v>
      </c>
    </row>
    <row r="21">
      <c r="A21" t="inlineStr">
        <is>
          <t>Excess (&gt; cap)</t>
        </is>
      </c>
      <c r="B21" s="6" t="n">
        <v>1687080256.868631</v>
      </c>
      <c r="C21" s="3" t="n">
        <v>5182925.58273954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8214792.081688168</v>
      </c>
    </row>
    <row r="25">
      <c r="A25" t="inlineStr">
        <is>
          <t>+ Sky-Direct revenue (full venue yield on fixed/capped SDE)</t>
        </is>
      </c>
      <c r="B25" s="3" t="n">
        <v>3875.849924106662</v>
      </c>
    </row>
    <row r="26">
      <c r="A26" t="inlineStr">
        <is>
          <t>equals sky_revenue (total Sky take this month)</t>
        </is>
      </c>
      <c r="B26" s="3" t="n">
        <v>8218667.931612275</v>
      </c>
    </row>
    <row r="28">
      <c r="A28" s="5" t="inlineStr">
        <is>
          <t>Utilized base = cum_debt − idle USDS − PSM USDS − Σ SDE asset value − Curve idle − lending idle</t>
        </is>
      </c>
    </row>
    <row r="30">
      <c r="A30" s="8" t="inlineStr">
        <is>
          <t>Sky Revenue (max) — BR × full ilk debt (no deductions)</t>
        </is>
      </c>
      <c r="B30" s="3" t="n">
        <v>10257521.8341293</v>
      </c>
    </row>
    <row r="31">
      <c r="A31" t="inlineStr">
        <is>
          <t xml:space="preserve">    ↳ actual CoF on Net_Subs (BR × utilized)</t>
        </is>
      </c>
      <c r="B31" s="3" t="n">
        <v>8214792.081688168</v>
      </c>
    </row>
    <row r="32">
      <c r="A32" t="inlineStr">
        <is>
          <t xml:space="preserve">    ↳ reduction from idle/SDE deductions</t>
        </is>
      </c>
      <c r="B32" s="3" t="n">
        <v>-2042729.752441128</v>
      </c>
    </row>
    <row r="33" ht="60" customHeight="1">
      <c r="A33" s="13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 ht="60" customHeight="1">
      <c r="A35" s="13" t="inlineStr">
        <is>
          <t>sUSDS spread (Curve LP + PSM3) — the BR−SSR spread (30 bps; 20 bps from 2026-07-23) × value, integrated daily, deducted from sky_revenue. Sky charges full BR on the underlying utilized; this row is the offsetting refund to the prime so SSR + BR + spread nets to zero economically.</t>
        </is>
      </c>
      <c r="B35" s="3" t="n">
        <v>11942.52804365823</v>
      </c>
    </row>
    <row r="37">
      <c r="A37" s="2" t="inlineStr">
        <is>
          <t>Subsidy</t>
        </is>
      </c>
      <c r="B37" s="2" t="inlineStr">
        <is>
          <t>Value</t>
        </is>
      </c>
    </row>
    <row r="38">
      <c r="A38" t="inlineStr">
        <is>
          <t>enabled</t>
        </is>
      </c>
      <c r="B38" t="inlineStr">
        <is>
          <t>true</t>
        </is>
      </c>
    </row>
    <row r="39">
      <c r="A39" t="inlineStr">
        <is>
          <t>cap_usd</t>
        </is>
      </c>
      <c r="B39" s="6" t="n">
        <v>1000000000</v>
      </c>
    </row>
    <row r="40">
      <c r="A40" t="inlineStr">
        <is>
          <t>program_start</t>
        </is>
      </c>
      <c r="B40" t="inlineStr">
        <is>
          <t>2026-01-01</t>
        </is>
      </c>
    </row>
    <row r="41">
      <c r="A41" t="inlineStr">
        <is>
          <t>ramp_months</t>
        </is>
      </c>
      <c r="B41" t="n">
        <v>24</v>
      </c>
    </row>
    <row r="42">
      <c r="A42" t="inlineStr">
        <is>
          <t>ref_rate_kind</t>
        </is>
      </c>
      <c r="B42" t="inlineStr">
        <is>
          <t>tbill_3m→sofr@2026-07-23</t>
        </is>
      </c>
    </row>
    <row r="43">
      <c r="A43" t="inlineStr">
        <is>
          <t>T this period</t>
        </is>
      </c>
      <c r="B43" t="inlineStr">
        <is>
          <t>8 (SoM) → 8 (EoM)</t>
        </is>
      </c>
    </row>
    <row r="44">
      <c r="A44" s="5" t="inlineStr">
        <is>
          <t>Formula</t>
        </is>
      </c>
      <c r="B44" t="inlineStr">
        <is>
          <t>subsidised_apr = ref_rate + (base_apr − ref_rate) × min(T, 24) / 24, applied to first cap_usd of utilized; excess at full base_apr</t>
        </is>
      </c>
    </row>
    <row r="46">
      <c r="A46" s="5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0.008700428167360377</v>
      </c>
      <c r="J5" s="6" t="n">
        <v>0.008700428167360377</v>
      </c>
    </row>
    <row r="6">
      <c r="A6" t="inlineStr">
        <is>
          <t>S62</t>
        </is>
      </c>
      <c r="B6" t="inlineStr">
        <is>
          <t>fixed</t>
        </is>
      </c>
      <c r="D6" t="inlineStr">
        <is>
          <t>2026-02-01</t>
        </is>
      </c>
      <c r="E6" t="inlineStr">
        <is>
          <t>—</t>
        </is>
      </c>
      <c r="F6" t="inlineStr">
        <is>
          <t>YES</t>
        </is>
      </c>
      <c r="G6" t="inlineStr">
        <is>
          <t>Atlas — Uniswap Pools (designated 2026-05-26): "Investments by Spark in USDT in USDS/USDT Uniswap pools" — https://sky-atlas.io/#5f368e33-7a82-4244-a9ba-f285193ec043</t>
        </is>
      </c>
      <c r="H6" t="inlineStr">
        <is>
          <t>USDT in USDT/USDS Uniswap V4</t>
        </is>
      </c>
      <c r="I6" s="6" t="n">
        <v>3875.841223678495</v>
      </c>
      <c r="J6" s="6" t="n">
        <v>3875.841223678495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3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T (months)</t>
        </is>
      </c>
      <c r="L5" s="2" t="inlineStr">
        <is>
          <t>ref_rate APR</t>
        </is>
      </c>
      <c r="M5" s="2" t="inlineStr">
        <is>
          <t>sub APR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2026-09-01</t>
        </is>
      </c>
      <c r="B6" s="6" t="n">
        <v>2906763421.062537</v>
      </c>
      <c r="C6" s="6" t="n">
        <v>90000000</v>
      </c>
      <c r="D6" s="6" t="n">
        <v>10787782.10438779</v>
      </c>
      <c r="E6" s="6" t="n">
        <v>46184868.72615942</v>
      </c>
      <c r="F6" s="6" t="n">
        <v>66134186.85567197</v>
      </c>
      <c r="G6" s="6" t="n">
        <v>321674890.8327978</v>
      </c>
      <c r="H6" s="6" t="n">
        <v>2371981692.54352</v>
      </c>
      <c r="I6" s="7" t="n">
        <v>0.03519999850777533</v>
      </c>
      <c r="J6" s="7" t="n">
        <v>0.03664455749990904</v>
      </c>
      <c r="K6" t="n">
        <v>8</v>
      </c>
      <c r="L6" s="7" t="n">
        <v>0.0366</v>
      </c>
      <c r="M6" s="7" t="n">
        <v>0.03661485249996968</v>
      </c>
      <c r="N6" s="3" t="n">
        <v>238056.2041676801</v>
      </c>
      <c r="O6" s="3" t="n">
        <v>291746.1762241619</v>
      </c>
    </row>
    <row r="7">
      <c r="A7" t="inlineStr">
        <is>
          <t>2026-09-02</t>
        </is>
      </c>
      <c r="B7" s="6" t="n">
        <v>2890435099.376095</v>
      </c>
      <c r="C7" s="6" t="n">
        <v>90000000</v>
      </c>
      <c r="D7" s="6" t="n">
        <v>10783394.72011987</v>
      </c>
      <c r="E7" s="6" t="n">
        <v>42941079.57266001</v>
      </c>
      <c r="F7" s="6" t="n">
        <v>73873920.36187291</v>
      </c>
      <c r="G7" s="6" t="n">
        <v>316351823.6700861</v>
      </c>
      <c r="H7" s="6" t="n">
        <v>2356484881.051357</v>
      </c>
      <c r="I7" s="7" t="n">
        <v>0.03519999850777533</v>
      </c>
      <c r="J7" s="7" t="n">
        <v>0.03664455749990904</v>
      </c>
      <c r="K7" t="n">
        <v>8</v>
      </c>
      <c r="L7" s="7" t="n">
        <v>0.0365</v>
      </c>
      <c r="M7" s="7" t="n">
        <v>0.03654818583330301</v>
      </c>
      <c r="N7" s="3" t="n">
        <v>236317.7371362924</v>
      </c>
      <c r="O7" s="3" t="n">
        <v>289924.2288554427</v>
      </c>
    </row>
    <row r="8">
      <c r="A8" t="inlineStr">
        <is>
          <t>2026-09-03</t>
        </is>
      </c>
      <c r="B8" s="6" t="n">
        <v>2967508830.591976</v>
      </c>
      <c r="C8" s="6" t="n">
        <v>90000000</v>
      </c>
      <c r="D8" s="6" t="n">
        <v>10781425.15239475</v>
      </c>
      <c r="E8" s="6" t="n">
        <v>33590920.91094027</v>
      </c>
      <c r="F8" s="6" t="n">
        <v>85998904.9177648</v>
      </c>
      <c r="G8" s="6" t="n">
        <v>336540318.0229259</v>
      </c>
      <c r="H8" s="6" t="n">
        <v>2410597261.58795</v>
      </c>
      <c r="I8" s="7" t="n">
        <v>0.03600000425292382</v>
      </c>
      <c r="J8" s="7" t="n">
        <v>0.03741931731351311</v>
      </c>
      <c r="K8" t="n">
        <v>8</v>
      </c>
      <c r="L8" s="7" t="n">
        <v>0.0366</v>
      </c>
      <c r="M8" s="7" t="n">
        <v>0.03687310577117104</v>
      </c>
      <c r="N8" s="3" t="n">
        <v>245634.7734358992</v>
      </c>
      <c r="O8" s="3" t="n">
        <v>302728.6110143323</v>
      </c>
    </row>
    <row r="9">
      <c r="A9" t="inlineStr">
        <is>
          <t>2026-09-04</t>
        </is>
      </c>
      <c r="B9" s="6" t="n">
        <v>2988013324.706798</v>
      </c>
      <c r="C9" s="6" t="n">
        <v>90000000</v>
      </c>
      <c r="D9" s="6" t="n">
        <v>10779506.1219177</v>
      </c>
      <c r="E9" s="6" t="n">
        <v>28343954.51391455</v>
      </c>
      <c r="F9" s="6" t="n">
        <v>88309100.01729183</v>
      </c>
      <c r="G9" s="6" t="n">
        <v>342696670.1153459</v>
      </c>
      <c r="H9" s="6" t="n">
        <v>2427884093.938328</v>
      </c>
      <c r="I9" s="7" t="n">
        <v>0.03600000425292382</v>
      </c>
      <c r="J9" s="7" t="n">
        <v>0.03741931731351311</v>
      </c>
      <c r="K9" t="n">
        <v>8</v>
      </c>
      <c r="L9" s="7" t="n">
        <v>0.0365</v>
      </c>
      <c r="M9" s="7" t="n">
        <v>0.03680643910450437</v>
      </c>
      <c r="N9" s="3" t="n">
        <v>247224.3482260297</v>
      </c>
      <c r="O9" s="3" t="n">
        <v>304648.0562334253</v>
      </c>
    </row>
    <row r="10">
      <c r="A10" t="inlineStr">
        <is>
          <t>2026-09-05</t>
        </is>
      </c>
      <c r="B10" s="6" t="n">
        <v>2928274110.318439</v>
      </c>
      <c r="C10" s="6" t="n">
        <v>90000000</v>
      </c>
      <c r="D10" s="6" t="n">
        <v>10777287.92069298</v>
      </c>
      <c r="E10" s="6" t="n">
        <v>33362192.54020159</v>
      </c>
      <c r="F10" s="6" t="n">
        <v>82344906.19469523</v>
      </c>
      <c r="G10" s="6" t="n">
        <v>327280160.0470022</v>
      </c>
      <c r="H10" s="6" t="n">
        <v>2384509563.615847</v>
      </c>
      <c r="I10" s="7" t="n">
        <v>0.03600000425292382</v>
      </c>
      <c r="J10" s="7" t="n">
        <v>0.03741931731351311</v>
      </c>
      <c r="K10" t="n">
        <v>8</v>
      </c>
      <c r="L10" s="7" t="n">
        <v>0.0365</v>
      </c>
      <c r="M10" s="7" t="n">
        <v>0.03680643910450437</v>
      </c>
      <c r="N10" s="3" t="n">
        <v>242777.648737094</v>
      </c>
      <c r="O10" s="3" t="n">
        <v>298523.6709751842</v>
      </c>
    </row>
    <row r="11">
      <c r="A11" t="inlineStr">
        <is>
          <t>2026-09-06</t>
        </is>
      </c>
      <c r="B11" s="6" t="n">
        <v>2956412327.73415</v>
      </c>
      <c r="C11" s="6" t="n">
        <v>90000000</v>
      </c>
      <c r="D11" s="6" t="n">
        <v>10787280.79874208</v>
      </c>
      <c r="E11" s="6" t="n">
        <v>35799400.42037193</v>
      </c>
      <c r="F11" s="6" t="n">
        <v>77757918.74799147</v>
      </c>
      <c r="G11" s="6" t="n">
        <v>330059413.61901</v>
      </c>
      <c r="H11" s="6" t="n">
        <v>2412008314.148035</v>
      </c>
      <c r="I11" s="7" t="n">
        <v>0.03600000425292382</v>
      </c>
      <c r="J11" s="7" t="n">
        <v>0.03741931731351311</v>
      </c>
      <c r="K11" t="n">
        <v>8</v>
      </c>
      <c r="L11" s="7" t="n">
        <v>0.0365</v>
      </c>
      <c r="M11" s="7" t="n">
        <v>0.03680643910450437</v>
      </c>
      <c r="N11" s="3" t="n">
        <v>245596.7842765161</v>
      </c>
      <c r="O11" s="3" t="n">
        <v>301408.3638138557</v>
      </c>
    </row>
    <row r="12">
      <c r="A12" t="inlineStr">
        <is>
          <t>2026-09-07</t>
        </is>
      </c>
      <c r="B12" s="6" t="n">
        <v>3000452982.63504</v>
      </c>
      <c r="C12" s="6" t="n">
        <v>90000000</v>
      </c>
      <c r="D12" s="6" t="n">
        <v>10784103.99660763</v>
      </c>
      <c r="E12" s="6" t="n">
        <v>39204009.08141842</v>
      </c>
      <c r="F12" s="6" t="n">
        <v>73468764.68268934</v>
      </c>
      <c r="G12" s="6" t="n">
        <v>341972638.172222</v>
      </c>
      <c r="H12" s="6" t="n">
        <v>2445023466.702103</v>
      </c>
      <c r="I12" s="7" t="n">
        <v>0.03600000425292382</v>
      </c>
      <c r="J12" s="7" t="n">
        <v>0.03741931731351311</v>
      </c>
      <c r="K12" t="n">
        <v>8</v>
      </c>
      <c r="L12" s="7" t="n">
        <v>0.0365</v>
      </c>
      <c r="M12" s="7" t="n">
        <v>0.03680643910450437</v>
      </c>
      <c r="N12" s="3" t="n">
        <v>248981.4540561729</v>
      </c>
      <c r="O12" s="3" t="n">
        <v>305923.3535136677</v>
      </c>
    </row>
    <row r="13">
      <c r="A13" t="inlineStr">
        <is>
          <t>2026-09-08</t>
        </is>
      </c>
      <c r="B13" s="6" t="n">
        <v>2995839152.421766</v>
      </c>
      <c r="C13" s="6" t="n">
        <v>90000000</v>
      </c>
      <c r="D13" s="6" t="n">
        <v>10782756.13469957</v>
      </c>
      <c r="E13" s="6" t="n">
        <v>37651547.86163576</v>
      </c>
      <c r="F13" s="6" t="n">
        <v>77135483.14091809</v>
      </c>
      <c r="G13" s="6" t="n">
        <v>345474185.8099677</v>
      </c>
      <c r="H13" s="6" t="n">
        <v>2434795179.474545</v>
      </c>
      <c r="I13" s="7" t="n">
        <v>0.03600000425292382</v>
      </c>
      <c r="J13" s="7" t="n">
        <v>0.03741931731351311</v>
      </c>
      <c r="K13" t="n">
        <v>8</v>
      </c>
      <c r="L13" s="7" t="n">
        <v>0.0364</v>
      </c>
      <c r="M13" s="7" t="n">
        <v>0.03673977243783771</v>
      </c>
      <c r="N13" s="3" t="n">
        <v>247750.2151739581</v>
      </c>
      <c r="O13" s="3" t="n">
        <v>305267.7013398379</v>
      </c>
    </row>
    <row r="14">
      <c r="A14" t="inlineStr">
        <is>
          <t>2026-09-09</t>
        </is>
      </c>
      <c r="B14" s="6" t="n">
        <v>3133651114.325167</v>
      </c>
      <c r="C14" s="6" t="n">
        <v>90000000</v>
      </c>
      <c r="D14" s="6" t="n">
        <v>10797020.24891723</v>
      </c>
      <c r="E14" s="6" t="n">
        <v>40743786.39046462</v>
      </c>
      <c r="F14" s="6" t="n">
        <v>74412072.93470116</v>
      </c>
      <c r="G14" s="6" t="n">
        <v>383589267.5591224</v>
      </c>
      <c r="H14" s="6" t="n">
        <v>2534108967.191961</v>
      </c>
      <c r="I14" s="7" t="n">
        <v>0.03600000425292382</v>
      </c>
      <c r="J14" s="7" t="n">
        <v>0.03741931731351311</v>
      </c>
      <c r="K14" t="n">
        <v>8</v>
      </c>
      <c r="L14" s="7" t="n">
        <v>0.0364</v>
      </c>
      <c r="M14" s="7" t="n">
        <v>0.03673977243783771</v>
      </c>
      <c r="N14" s="3" t="n">
        <v>257931.7333553413</v>
      </c>
      <c r="O14" s="3" t="n">
        <v>319396.0014276766</v>
      </c>
    </row>
    <row r="15">
      <c r="A15" t="inlineStr">
        <is>
          <t>2026-09-10</t>
        </is>
      </c>
      <c r="B15" s="6" t="n">
        <v>3227081891.544717</v>
      </c>
      <c r="C15" s="6" t="n">
        <v>90000000</v>
      </c>
      <c r="D15" s="6" t="n">
        <v>10846682.58683929</v>
      </c>
      <c r="E15" s="6" t="n">
        <v>42457056.322888</v>
      </c>
      <c r="F15" s="6" t="n">
        <v>75494030.84493366</v>
      </c>
      <c r="G15" s="6" t="n">
        <v>421499085.0281916</v>
      </c>
      <c r="H15" s="6" t="n">
        <v>2586785036.761865</v>
      </c>
      <c r="I15" s="7" t="n">
        <v>0.03600000425292382</v>
      </c>
      <c r="J15" s="7" t="n">
        <v>0.03741931731351311</v>
      </c>
      <c r="K15" t="n">
        <v>8</v>
      </c>
      <c r="L15" s="7" t="n">
        <v>0.0362</v>
      </c>
      <c r="M15" s="7" t="n">
        <v>0.03660643910450437</v>
      </c>
      <c r="N15" s="3" t="n">
        <v>262966.717543647</v>
      </c>
      <c r="O15" s="3" t="n">
        <v>328609.1043490277</v>
      </c>
    </row>
    <row r="16">
      <c r="A16" t="inlineStr">
        <is>
          <t>2026-09-11</t>
        </is>
      </c>
      <c r="B16" s="6" t="n">
        <v>3297373641.594151</v>
      </c>
      <c r="C16" s="6" t="n">
        <v>90000000</v>
      </c>
      <c r="D16" s="6" t="n">
        <v>11051222.40951546</v>
      </c>
      <c r="E16" s="6" t="n">
        <v>39392044.00456543</v>
      </c>
      <c r="F16" s="6" t="n">
        <v>70852872.02856682</v>
      </c>
      <c r="G16" s="6" t="n">
        <v>448108701.9685125</v>
      </c>
      <c r="H16" s="6" t="n">
        <v>2637968801.182991</v>
      </c>
      <c r="I16" s="7" t="n">
        <v>0.03600000425292382</v>
      </c>
      <c r="J16" s="7" t="n">
        <v>0.03741931731351311</v>
      </c>
      <c r="K16" t="n">
        <v>8</v>
      </c>
      <c r="L16" s="7" t="n">
        <v>0.0362</v>
      </c>
      <c r="M16" s="7" t="n">
        <v>0.03660643910450437</v>
      </c>
      <c r="N16" s="3" t="n">
        <v>268214.0093852202</v>
      </c>
      <c r="O16" s="3" t="n">
        <v>335815.3216082659</v>
      </c>
    </row>
    <row r="17">
      <c r="A17" t="inlineStr">
        <is>
          <t>2026-09-12</t>
        </is>
      </c>
      <c r="B17" s="6" t="n">
        <v>3261296362.641112</v>
      </c>
      <c r="C17" s="6" t="n">
        <v>90000000</v>
      </c>
      <c r="D17" s="6" t="n">
        <v>10958189.66850853</v>
      </c>
      <c r="E17" s="6" t="n">
        <v>38323346.1236461</v>
      </c>
      <c r="F17" s="6" t="n">
        <v>74526830.75221506</v>
      </c>
      <c r="G17" s="6" t="n">
        <v>439333902.4873285</v>
      </c>
      <c r="H17" s="6" t="n">
        <v>2608154093.609414</v>
      </c>
      <c r="I17" s="7" t="n">
        <v>0.03600000425292382</v>
      </c>
      <c r="J17" s="7" t="n">
        <v>0.03741931731351311</v>
      </c>
      <c r="K17" t="n">
        <v>8</v>
      </c>
      <c r="L17" s="7" t="n">
        <v>0.0362</v>
      </c>
      <c r="M17" s="7" t="n">
        <v>0.03660643910450437</v>
      </c>
      <c r="N17" s="3" t="n">
        <v>265157.444992603</v>
      </c>
      <c r="O17" s="3" t="n">
        <v>332116.7266796306</v>
      </c>
    </row>
    <row r="18">
      <c r="A18" t="inlineStr">
        <is>
          <t>2026-09-13</t>
        </is>
      </c>
      <c r="B18" s="6" t="n">
        <v>3271620408.368682</v>
      </c>
      <c r="C18" s="6" t="n">
        <v>90000000</v>
      </c>
      <c r="D18" s="6" t="n">
        <v>10967668.13417339</v>
      </c>
      <c r="E18" s="6" t="n">
        <v>44209251.24223101</v>
      </c>
      <c r="F18" s="6" t="n">
        <v>69262929.5670072</v>
      </c>
      <c r="G18" s="6" t="n">
        <v>438574487.8959026</v>
      </c>
      <c r="H18" s="6" t="n">
        <v>2618606071.529368</v>
      </c>
      <c r="I18" s="7" t="n">
        <v>0.03600000425292382</v>
      </c>
      <c r="J18" s="7" t="n">
        <v>0.03741931731351311</v>
      </c>
      <c r="K18" t="n">
        <v>8</v>
      </c>
      <c r="L18" s="7" t="n">
        <v>0.0362</v>
      </c>
      <c r="M18" s="7" t="n">
        <v>0.03660643910450437</v>
      </c>
      <c r="N18" s="3" t="n">
        <v>266228.9679469608</v>
      </c>
      <c r="O18" s="3" t="n">
        <v>333175.1341948064</v>
      </c>
    </row>
    <row r="19">
      <c r="A19" t="inlineStr">
        <is>
          <t>2026-09-14</t>
        </is>
      </c>
      <c r="B19" s="6" t="n">
        <v>3336773639.899233</v>
      </c>
      <c r="C19" s="6" t="n">
        <v>90000000</v>
      </c>
      <c r="D19" s="6" t="n">
        <v>11011831.47225842</v>
      </c>
      <c r="E19" s="6" t="n">
        <v>38717183.1975746</v>
      </c>
      <c r="F19" s="6" t="n">
        <v>74780064.69773053</v>
      </c>
      <c r="G19" s="6" t="n">
        <v>459982093.6032678</v>
      </c>
      <c r="H19" s="6" t="n">
        <v>2662282466.928402</v>
      </c>
      <c r="I19" s="7" t="n">
        <v>0.03600000425292382</v>
      </c>
      <c r="J19" s="7" t="n">
        <v>0.03741931731351311</v>
      </c>
      <c r="K19" t="n">
        <v>8</v>
      </c>
      <c r="L19" s="7" t="n">
        <v>0.0362</v>
      </c>
      <c r="M19" s="7" t="n">
        <v>0.03660643910450437</v>
      </c>
      <c r="N19" s="3" t="n">
        <v>270706.6142443497</v>
      </c>
      <c r="O19" s="3" t="n">
        <v>339854.5573308132</v>
      </c>
    </row>
    <row r="20">
      <c r="A20" t="inlineStr">
        <is>
          <t>2026-09-15</t>
        </is>
      </c>
      <c r="B20" s="6" t="n">
        <v>3408882342.468478</v>
      </c>
      <c r="C20" s="6" t="n">
        <v>90000000</v>
      </c>
      <c r="D20" s="6" t="n">
        <v>11013377.08004701</v>
      </c>
      <c r="E20" s="6" t="n">
        <v>51464357.30621822</v>
      </c>
      <c r="F20" s="6" t="n">
        <v>63078762.22766157</v>
      </c>
      <c r="G20" s="6" t="n">
        <v>486544767.4335539</v>
      </c>
      <c r="H20" s="6" t="n">
        <v>2706781078.420998</v>
      </c>
      <c r="I20" s="7" t="n">
        <v>0.03600000425292382</v>
      </c>
      <c r="J20" s="7" t="n">
        <v>0.03741931731351311</v>
      </c>
      <c r="K20" t="n">
        <v>8</v>
      </c>
      <c r="L20" s="7" t="n">
        <v>0.0364</v>
      </c>
      <c r="M20" s="7" t="n">
        <v>0.03673977243783771</v>
      </c>
      <c r="N20" s="3" t="n">
        <v>275633.8498519812</v>
      </c>
      <c r="O20" s="3" t="n">
        <v>347612.3429632451</v>
      </c>
    </row>
    <row r="21">
      <c r="A21" t="inlineStr">
        <is>
          <t>2026-09-16</t>
        </is>
      </c>
      <c r="B21" s="6" t="n">
        <v>3472868914.590904</v>
      </c>
      <c r="C21" s="6" t="n">
        <v>90000000</v>
      </c>
      <c r="D21" s="6" t="n">
        <v>11015189.69398859</v>
      </c>
      <c r="E21" s="6" t="n">
        <v>53285053.35791527</v>
      </c>
      <c r="F21" s="6" t="n">
        <v>59219558.5191095</v>
      </c>
      <c r="G21" s="6" t="n">
        <v>520256687.5533239</v>
      </c>
      <c r="H21" s="6" t="n">
        <v>2739092425.466567</v>
      </c>
      <c r="I21" s="7" t="n">
        <v>0.03600000425292382</v>
      </c>
      <c r="J21" s="7" t="n">
        <v>0.03741931731351311</v>
      </c>
      <c r="K21" t="n">
        <v>8</v>
      </c>
      <c r="L21" s="7" t="n">
        <v>0.0362</v>
      </c>
      <c r="M21" s="7" t="n">
        <v>0.03660643910450437</v>
      </c>
      <c r="N21" s="3" t="n">
        <v>278581.0696179863</v>
      </c>
      <c r="O21" s="3" t="n">
        <v>353806.8649159018</v>
      </c>
    </row>
    <row r="22">
      <c r="A22" t="inlineStr">
        <is>
          <t>2026-09-17</t>
        </is>
      </c>
      <c r="B22" s="6" t="n">
        <v>3532508643.580109</v>
      </c>
      <c r="C22" s="6" t="n">
        <v>90000000</v>
      </c>
      <c r="D22" s="6" t="n">
        <v>11015476.02521076</v>
      </c>
      <c r="E22" s="6" t="n">
        <v>54701824.10007302</v>
      </c>
      <c r="F22" s="6" t="n">
        <v>56533917.02449908</v>
      </c>
      <c r="G22" s="6" t="n">
        <v>544096705.3514518</v>
      </c>
      <c r="H22" s="6" t="n">
        <v>2776160721.078874</v>
      </c>
      <c r="I22" s="7" t="n">
        <v>0.03600000425292382</v>
      </c>
      <c r="J22" s="7" t="n">
        <v>0.03741931731351311</v>
      </c>
      <c r="K22" t="n">
        <v>8</v>
      </c>
      <c r="L22" s="7" t="n">
        <v>0.0385</v>
      </c>
      <c r="M22" s="7" t="n">
        <v>0.03741931731351311</v>
      </c>
      <c r="N22" s="3" t="n">
        <v>284608.3258503062</v>
      </c>
      <c r="O22" s="3" t="n">
        <v>362148.1146489092</v>
      </c>
    </row>
    <row r="23">
      <c r="A23" t="inlineStr">
        <is>
          <t>2026-09-18</t>
        </is>
      </c>
      <c r="B23" s="6" t="n">
        <v>3557227409.970616</v>
      </c>
      <c r="C23" s="6" t="n">
        <v>90000000</v>
      </c>
      <c r="D23" s="6" t="n">
        <v>11011283.2026294</v>
      </c>
      <c r="E23" s="6" t="n">
        <v>39807184.62271105</v>
      </c>
      <c r="F23" s="6" t="n">
        <v>75881936.86035079</v>
      </c>
      <c r="G23" s="6" t="n">
        <v>547009412.1599061</v>
      </c>
      <c r="H23" s="6" t="n">
        <v>2793517593.125018</v>
      </c>
      <c r="I23" s="7" t="n">
        <v>0.03600000425292382</v>
      </c>
      <c r="J23" s="7" t="n">
        <v>0.03741931731351311</v>
      </c>
      <c r="K23" t="n">
        <v>8</v>
      </c>
      <c r="L23" s="7" t="n">
        <v>0.0385</v>
      </c>
      <c r="M23" s="7" t="n">
        <v>0.03741931731351311</v>
      </c>
      <c r="N23" s="3" t="n">
        <v>286387.7294192506</v>
      </c>
      <c r="O23" s="3" t="n">
        <v>364682.2498904572</v>
      </c>
    </row>
    <row r="24">
      <c r="A24" t="inlineStr">
        <is>
          <t>2026-09-19</t>
        </is>
      </c>
      <c r="B24" s="6" t="n">
        <v>3582188103.687335</v>
      </c>
      <c r="C24" s="6" t="n">
        <v>90000000</v>
      </c>
      <c r="D24" s="6" t="n">
        <v>11022797.04070983</v>
      </c>
      <c r="E24" s="6" t="n">
        <v>42362026.83740311</v>
      </c>
      <c r="F24" s="6" t="n">
        <v>69117035.89852072</v>
      </c>
      <c r="G24" s="6" t="n">
        <v>555046298.1893152</v>
      </c>
      <c r="H24" s="6" t="n">
        <v>2814639945.721386</v>
      </c>
      <c r="I24" s="7" t="n">
        <v>0.03600000425292382</v>
      </c>
      <c r="J24" s="7" t="n">
        <v>0.03741931731351311</v>
      </c>
      <c r="K24" t="n">
        <v>8</v>
      </c>
      <c r="L24" s="7" t="n">
        <v>0.0385</v>
      </c>
      <c r="M24" s="7" t="n">
        <v>0.03741931731351311</v>
      </c>
      <c r="N24" s="3" t="n">
        <v>288553.1650746243</v>
      </c>
      <c r="O24" s="3" t="n">
        <v>367241.1872015567</v>
      </c>
    </row>
    <row r="25">
      <c r="A25" t="inlineStr">
        <is>
          <t>2026-09-20</t>
        </is>
      </c>
      <c r="B25" s="6" t="n">
        <v>3615656122.574477</v>
      </c>
      <c r="C25" s="6" t="n">
        <v>90000000</v>
      </c>
      <c r="D25" s="6" t="n">
        <v>11021528.4331681</v>
      </c>
      <c r="E25" s="6" t="n">
        <v>40669150.95574692</v>
      </c>
      <c r="F25" s="6" t="n">
        <v>70044162.34119777</v>
      </c>
      <c r="G25" s="6" t="n">
        <v>555099974.3238693</v>
      </c>
      <c r="H25" s="6" t="n">
        <v>2848821306.520495</v>
      </c>
      <c r="I25" s="7" t="n">
        <v>0.03600000425292382</v>
      </c>
      <c r="J25" s="7" t="n">
        <v>0.03741931731351311</v>
      </c>
      <c r="K25" t="n">
        <v>8</v>
      </c>
      <c r="L25" s="7" t="n">
        <v>0.0385</v>
      </c>
      <c r="M25" s="7" t="n">
        <v>0.03741931731351311</v>
      </c>
      <c r="N25" s="3" t="n">
        <v>292057.3929813354</v>
      </c>
      <c r="O25" s="3" t="n">
        <v>370672.2842387968</v>
      </c>
    </row>
    <row r="26">
      <c r="A26" t="inlineStr">
        <is>
          <t>2026-09-21</t>
        </is>
      </c>
      <c r="B26" s="6" t="n">
        <v>3668718424.821697</v>
      </c>
      <c r="C26" s="6" t="n">
        <v>90000000</v>
      </c>
      <c r="D26" s="6" t="n">
        <v>11017474.21178086</v>
      </c>
      <c r="E26" s="6" t="n">
        <v>39640105.26414733</v>
      </c>
      <c r="F26" s="6" t="n">
        <v>80565486.31273285</v>
      </c>
      <c r="G26" s="6" t="n">
        <v>511522523.5145142</v>
      </c>
      <c r="H26" s="6" t="n">
        <v>2935972835.518521</v>
      </c>
      <c r="I26" s="7" t="n">
        <v>0.03600000425292382</v>
      </c>
      <c r="J26" s="7" t="n">
        <v>0.03741931731351311</v>
      </c>
      <c r="K26" t="n">
        <v>8</v>
      </c>
      <c r="L26" s="7" t="n">
        <v>0.0385</v>
      </c>
      <c r="M26" s="7" t="n">
        <v>0.03741931731351311</v>
      </c>
      <c r="N26" s="3" t="n">
        <v>300992.0524825271</v>
      </c>
      <c r="O26" s="3" t="n">
        <v>376112.1612940687</v>
      </c>
    </row>
    <row r="27">
      <c r="A27" t="inlineStr">
        <is>
          <t>2026-09-22</t>
        </is>
      </c>
      <c r="B27" s="6" t="n">
        <v>3654567772.917019</v>
      </c>
      <c r="C27" s="6" t="n">
        <v>90000000</v>
      </c>
      <c r="D27" s="6" t="n">
        <v>11013549.04707003</v>
      </c>
      <c r="E27" s="6" t="n">
        <v>38195404.07725928</v>
      </c>
      <c r="F27" s="6" t="n">
        <v>77310138.73431022</v>
      </c>
      <c r="G27" s="6" t="n">
        <v>509580863.5732393</v>
      </c>
      <c r="H27" s="6" t="n">
        <v>2928467817.485141</v>
      </c>
      <c r="I27" s="7" t="n">
        <v>0.03600000425292382</v>
      </c>
      <c r="J27" s="7" t="n">
        <v>0.03741931731351311</v>
      </c>
      <c r="K27" t="n">
        <v>8</v>
      </c>
      <c r="L27" s="7" t="n">
        <v>0.0387</v>
      </c>
      <c r="M27" s="7" t="n">
        <v>0.03741931731351311</v>
      </c>
      <c r="N27" s="3" t="n">
        <v>300222.6479585964</v>
      </c>
      <c r="O27" s="3" t="n">
        <v>374661.4551740298</v>
      </c>
    </row>
    <row r="28">
      <c r="A28" t="inlineStr">
        <is>
          <t>2026-09-23</t>
        </is>
      </c>
      <c r="B28" s="6" t="n">
        <v>3613986960.44891</v>
      </c>
      <c r="C28" s="6" t="n">
        <v>90000000</v>
      </c>
      <c r="D28" s="6" t="n">
        <v>11024090.25538417</v>
      </c>
      <c r="E28" s="6" t="n">
        <v>38791154.5504749</v>
      </c>
      <c r="F28" s="6" t="n">
        <v>77315744.47759701</v>
      </c>
      <c r="G28" s="6" t="n">
        <v>489850897.9694406</v>
      </c>
      <c r="H28" s="6" t="n">
        <v>2907005073.196013</v>
      </c>
      <c r="I28" s="7" t="n">
        <v>0.03600000425292382</v>
      </c>
      <c r="J28" s="7" t="n">
        <v>0.03741931731351311</v>
      </c>
      <c r="K28" t="n">
        <v>8</v>
      </c>
      <c r="L28" s="7" t="n">
        <v>0.0387</v>
      </c>
      <c r="M28" s="7" t="n">
        <v>0.03741931731351311</v>
      </c>
      <c r="N28" s="3" t="n">
        <v>298022.3157970248</v>
      </c>
      <c r="O28" s="3" t="n">
        <v>370501.1639450316</v>
      </c>
    </row>
    <row r="29">
      <c r="A29" t="inlineStr">
        <is>
          <t>2026-09-24</t>
        </is>
      </c>
      <c r="B29" s="6" t="n">
        <v>3562391445.516993</v>
      </c>
      <c r="C29" s="6" t="n">
        <v>90000000</v>
      </c>
      <c r="D29" s="6" t="n">
        <v>11106742.99290403</v>
      </c>
      <c r="E29" s="6" t="n">
        <v>42557094.58933863</v>
      </c>
      <c r="F29" s="6" t="n">
        <v>72747259.58101186</v>
      </c>
      <c r="G29" s="6" t="n">
        <v>476137012.6093084</v>
      </c>
      <c r="H29" s="6" t="n">
        <v>2869843335.74443</v>
      </c>
      <c r="I29" s="7" t="n">
        <v>0.03600000425292382</v>
      </c>
      <c r="J29" s="7" t="n">
        <v>0.03741931731351311</v>
      </c>
      <c r="K29" t="n">
        <v>8</v>
      </c>
      <c r="L29" s="7" t="n">
        <v>0.0388</v>
      </c>
      <c r="M29" s="7" t="n">
        <v>0.03741931731351311</v>
      </c>
      <c r="N29" s="3" t="n">
        <v>294212.5436172377</v>
      </c>
      <c r="O29" s="3" t="n">
        <v>365211.6599856028</v>
      </c>
    </row>
    <row r="30">
      <c r="A30" t="inlineStr">
        <is>
          <t>2026-09-25</t>
        </is>
      </c>
      <c r="B30" s="6" t="n">
        <v>3562110063.464996</v>
      </c>
      <c r="C30" s="6" t="n">
        <v>90000000</v>
      </c>
      <c r="D30" s="6" t="n">
        <v>11105892.44404138</v>
      </c>
      <c r="E30" s="6" t="n">
        <v>39434498.72772756</v>
      </c>
      <c r="F30" s="6" t="n">
        <v>78636692.55074844</v>
      </c>
      <c r="G30" s="6" t="n">
        <v>477489965.700973</v>
      </c>
      <c r="H30" s="6" t="n">
        <v>2865443014.041506</v>
      </c>
      <c r="I30" s="7" t="n">
        <v>0.03600000425292382</v>
      </c>
      <c r="J30" s="7" t="n">
        <v>0.03741931731351311</v>
      </c>
      <c r="K30" t="n">
        <v>8</v>
      </c>
      <c r="L30" s="7" t="n">
        <v>0.039</v>
      </c>
      <c r="M30" s="7" t="n">
        <v>0.03741931731351311</v>
      </c>
      <c r="N30" s="3" t="n">
        <v>293761.4284553658</v>
      </c>
      <c r="O30" s="3" t="n">
        <v>365182.8130697398</v>
      </c>
    </row>
    <row r="31">
      <c r="A31" t="inlineStr">
        <is>
          <t>2026-09-26</t>
        </is>
      </c>
      <c r="B31" s="6" t="n">
        <v>3556747626.534367</v>
      </c>
      <c r="C31" s="6" t="n">
        <v>101105139.5996115</v>
      </c>
      <c r="D31" s="6" t="n">
        <v>0.9981644656134642</v>
      </c>
      <c r="E31" s="6" t="n">
        <v>40058756.90344783</v>
      </c>
      <c r="F31" s="6" t="n">
        <v>75811953.01965727</v>
      </c>
      <c r="G31" s="6" t="n">
        <v>476178335.913344</v>
      </c>
      <c r="H31" s="6" t="n">
        <v>2863593440.100142</v>
      </c>
      <c r="I31" s="7" t="n">
        <v>0.03600000425292382</v>
      </c>
      <c r="J31" s="7" t="n">
        <v>0.03741931731351311</v>
      </c>
      <c r="K31" t="n">
        <v>8</v>
      </c>
      <c r="L31" s="7" t="n">
        <v>0.039</v>
      </c>
      <c r="M31" s="7" t="n">
        <v>0.03741931731351311</v>
      </c>
      <c r="N31" s="3" t="n">
        <v>293571.8125808269</v>
      </c>
      <c r="O31" s="3" t="n">
        <v>364633.0631270524</v>
      </c>
    </row>
    <row r="32">
      <c r="A32" t="inlineStr">
        <is>
          <t>2026-09-27</t>
        </is>
      </c>
      <c r="B32" s="6" t="n">
        <v>3569305881.745206</v>
      </c>
      <c r="C32" s="6" t="n">
        <v>101105139.5996115</v>
      </c>
      <c r="D32" s="6" t="n">
        <v>348.044919387507</v>
      </c>
      <c r="E32" s="6" t="n">
        <v>40276114.07045595</v>
      </c>
      <c r="F32" s="6" t="n">
        <v>77458558.38944019</v>
      </c>
      <c r="G32" s="6" t="n">
        <v>478099948.9814835</v>
      </c>
      <c r="H32" s="6" t="n">
        <v>2872365772.659295</v>
      </c>
      <c r="I32" s="7" t="n">
        <v>0.03600000425292382</v>
      </c>
      <c r="J32" s="7" t="n">
        <v>0.03741931731351311</v>
      </c>
      <c r="K32" t="n">
        <v>8</v>
      </c>
      <c r="L32" s="7" t="n">
        <v>0.039</v>
      </c>
      <c r="M32" s="7" t="n">
        <v>0.03741931731351311</v>
      </c>
      <c r="N32" s="3" t="n">
        <v>294471.1405140067</v>
      </c>
      <c r="O32" s="3" t="n">
        <v>365920.51884387</v>
      </c>
    </row>
    <row r="33">
      <c r="A33" t="inlineStr">
        <is>
          <t>2026-09-28</t>
        </is>
      </c>
      <c r="B33" s="6" t="n">
        <v>3607683503.927528</v>
      </c>
      <c r="C33" s="6" t="n">
        <v>101105139.5996115</v>
      </c>
      <c r="D33" s="6" t="n">
        <v>475.1354724600163</v>
      </c>
      <c r="E33" s="6" t="n">
        <v>49030490.46679787</v>
      </c>
      <c r="F33" s="6" t="n">
        <v>66105314.46354181</v>
      </c>
      <c r="G33" s="6" t="n">
        <v>489068699.5676167</v>
      </c>
      <c r="H33" s="6" t="n">
        <v>2902373384.694488</v>
      </c>
      <c r="I33" s="7" t="n">
        <v>0.03600000425292382</v>
      </c>
      <c r="J33" s="7" t="n">
        <v>0.03741931731351311</v>
      </c>
      <c r="K33" t="n">
        <v>8</v>
      </c>
      <c r="L33" s="7" t="n">
        <v>0.039</v>
      </c>
      <c r="M33" s="7" t="n">
        <v>0.03741931731351311</v>
      </c>
      <c r="N33" s="3" t="n">
        <v>297547.4812169262</v>
      </c>
      <c r="O33" s="3" t="n">
        <v>369854.9419183315</v>
      </c>
    </row>
    <row r="34">
      <c r="A34" t="inlineStr">
        <is>
          <t>2026-09-29</t>
        </is>
      </c>
      <c r="B34" s="6" t="n">
        <v>3630529651.948061</v>
      </c>
      <c r="C34" s="6" t="n">
        <v>101105139.5996115</v>
      </c>
      <c r="D34" s="6" t="n">
        <v>39645.63435542155</v>
      </c>
      <c r="E34" s="6" t="n">
        <v>46729012.84603118</v>
      </c>
      <c r="F34" s="6" t="n">
        <v>70493387.35718162</v>
      </c>
      <c r="G34" s="6" t="n">
        <v>490680595.5793573</v>
      </c>
      <c r="H34" s="6" t="n">
        <v>2921481870.931524</v>
      </c>
      <c r="I34" s="7" t="n">
        <v>0.03600000425292382</v>
      </c>
      <c r="J34" s="7" t="n">
        <v>0.03741931731351311</v>
      </c>
      <c r="K34" t="n">
        <v>8</v>
      </c>
      <c r="L34" s="7" t="n">
        <v>0.0388</v>
      </c>
      <c r="M34" s="7" t="n">
        <v>0.03741931731351311</v>
      </c>
      <c r="N34" s="3" t="n">
        <v>299506.457956336</v>
      </c>
      <c r="O34" s="3" t="n">
        <v>372197.098800994</v>
      </c>
    </row>
    <row r="35">
      <c r="A35" t="inlineStr">
        <is>
          <t>2026-09-30</t>
        </is>
      </c>
      <c r="B35" s="6" t="n">
        <v>3686615117.414475</v>
      </c>
      <c r="C35" s="6" t="n">
        <v>101105139.5996115</v>
      </c>
      <c r="D35" s="6" t="n">
        <v>125648.5335501426</v>
      </c>
      <c r="E35" s="6" t="n">
        <v>52072873.79227647</v>
      </c>
      <c r="F35" s="6" t="n">
        <v>63718676.68799376</v>
      </c>
      <c r="G35" s="6" t="n">
        <v>493934577.7121899</v>
      </c>
      <c r="H35" s="6" t="n">
        <v>2975658201.088854</v>
      </c>
      <c r="I35" s="7" t="n">
        <v>0.03600000425292382</v>
      </c>
      <c r="J35" s="7" t="n">
        <v>0.03741931731351311</v>
      </c>
      <c r="K35" t="n">
        <v>8</v>
      </c>
      <c r="L35" s="7" t="n">
        <v>0.0388</v>
      </c>
      <c r="M35" s="7" t="n">
        <v>0.03741931731351311</v>
      </c>
      <c r="N35" s="3" t="n">
        <v>305060.54367973</v>
      </c>
      <c r="O35" s="3" t="n">
        <v>377946.9065515799</v>
      </c>
    </row>
    <row r="37">
      <c r="A37" s="8" t="inlineStr">
        <is>
          <t>Σ daily charges</t>
        </is>
      </c>
      <c r="N37" s="12" t="n">
        <v>8226734.609731826</v>
      </c>
      <c r="O37" s="12" t="n">
        <v>10257521.8341293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2026-10-01T10:53:25Z</dcterms:created>
  <dcterms:modified xsi:type="dcterms:W3CDTF">2026-10-01T10:53:25Z</dcterms:modified>
</cp:coreProperties>
</file>