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13408944.74245897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1632540.8</v>
      </c>
    </row>
    <row r="7">
      <c r="A7" t="inlineStr"/>
      <c r="B7" s="4" t="n">
        <v>15160063.72185771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10642578.13467968</v>
      </c>
    </row>
    <row r="11">
      <c r="A11" t="inlineStr">
        <is>
          <t>+ SDE revenue (Sky-Direct, full to Sky)</t>
        </is>
      </c>
      <c r="B11" s="3" t="n">
        <v>40550.6842112442</v>
      </c>
    </row>
    <row r="12">
      <c r="A12" t="inlineStr"/>
      <c r="B12" s="4" t="n">
        <v>10683128.81889092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10642578.13467968</v>
      </c>
    </row>
    <row r="16">
      <c r="A16" t="inlineStr">
        <is>
          <t>reduction from idle/SDE deductions</t>
        </is>
      </c>
      <c r="B16" s="3" t="n">
        <v>-2749286.851285571</v>
      </c>
    </row>
    <row r="17">
      <c r="A17" t="inlineStr"/>
      <c r="B17" s="4" t="n">
        <v>13391864.98596525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13408944.74245897</v>
      </c>
    </row>
    <row r="23">
      <c r="A23" t="inlineStr">
        <is>
          <t>− CoF (deducted per-venue in display)</t>
        </is>
      </c>
      <c r="B23" s="3" t="n">
        <v>-10642578.13467968</v>
      </c>
    </row>
    <row r="24">
      <c r="A24" t="inlineStr"/>
      <c r="B24" s="4" t="n">
        <v>1386055.476326505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2026-07-03T07:25:43+00:00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3834450.909129192</v>
      </c>
      <c r="I2" s="6" t="n">
        <v>0</v>
      </c>
      <c r="J2" s="6" t="n">
        <v>3834450.909129192</v>
      </c>
      <c r="K2" s="6" t="n">
        <v>0</v>
      </c>
      <c r="L2" s="6" t="n">
        <v>1900678578.685408</v>
      </c>
      <c r="M2" s="7" t="n">
        <v>1</v>
      </c>
      <c r="N2" s="6" t="n">
        <v>4330990.330089472</v>
      </c>
      <c r="O2" s="6" t="n">
        <v>4330990.330089472</v>
      </c>
      <c r="P2" s="6" t="n">
        <v>-496539.4209602798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1530671.037066013</v>
      </c>
      <c r="O3" s="6" t="n">
        <v>1530671.037066013</v>
      </c>
      <c r="P3" s="6" t="n">
        <v>337441.1311699869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3091579.99999999</v>
      </c>
      <c r="I4" s="6" t="n">
        <v>0</v>
      </c>
      <c r="J4" s="6" t="n">
        <v>3091579.99999999</v>
      </c>
      <c r="K4" s="6" t="n">
        <v>0</v>
      </c>
      <c r="L4" s="6" t="n">
        <v>615465268.6039779</v>
      </c>
      <c r="M4" s="7" t="n">
        <v>1</v>
      </c>
      <c r="N4" s="6" t="n">
        <v>1402432.876722047</v>
      </c>
      <c r="O4" s="6" t="n">
        <v>1402432.876722047</v>
      </c>
      <c r="P4" s="6" t="n">
        <v>1689147.123277943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-194444.4444439746</v>
      </c>
      <c r="I5" s="6" t="n">
        <v>0</v>
      </c>
      <c r="J5" s="6" t="n">
        <v>-194444.4444439746</v>
      </c>
      <c r="K5" s="6" t="n">
        <v>0</v>
      </c>
      <c r="L5" s="6" t="n">
        <v>539754938.8825277</v>
      </c>
      <c r="M5" s="7" t="n">
        <v>1</v>
      </c>
      <c r="N5" s="6" t="n">
        <v>1229915.171946168</v>
      </c>
      <c r="O5" s="6" t="n">
        <v>1229915.171946168</v>
      </c>
      <c r="P5" s="6" t="n">
        <v>-1424359.616390143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409131.1364512742</v>
      </c>
      <c r="O6" s="6" t="n">
        <v>409131.1364512742</v>
      </c>
      <c r="P6" s="6" t="n">
        <v>150321.8027899451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326596.3279090599</v>
      </c>
      <c r="O7" s="6" t="n">
        <v>290131.5140672624</v>
      </c>
      <c r="P7" s="6" t="n">
        <v>109446.7210059646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239439.2496962347</v>
      </c>
      <c r="O8" s="6" t="n">
        <v>239439.2496962347</v>
      </c>
      <c r="P8" s="6" t="n">
        <v>184091.3588869669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227865.8090060199</v>
      </c>
      <c r="O9" s="6" t="n">
        <v>227865.8090060199</v>
      </c>
      <c r="P9" s="6" t="n">
        <v>-198861.8383060199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227862.0364015236</v>
      </c>
      <c r="O10" s="6" t="n">
        <v>227862.0364015236</v>
      </c>
      <c r="P10" s="6" t="n">
        <v>-221476.1525298833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232516.1966087057</v>
      </c>
      <c r="O11" s="6" t="n">
        <v>206555.5255906894</v>
      </c>
      <c r="P11" s="6" t="n">
        <v>77919.23278049534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217269.396446639</v>
      </c>
      <c r="I12" s="6" t="n">
        <v>0</v>
      </c>
      <c r="J12" s="6" t="n">
        <v>217269.396446639</v>
      </c>
      <c r="K12" s="6" t="n">
        <v>0</v>
      </c>
      <c r="L12" s="6" t="n">
        <v>89619946.74579926</v>
      </c>
      <c r="M12" s="7" t="n">
        <v>1</v>
      </c>
      <c r="N12" s="6" t="n">
        <v>204212.920107537</v>
      </c>
      <c r="O12" s="6" t="n">
        <v>204212.920107537</v>
      </c>
      <c r="P12" s="6" t="n">
        <v>13056.47633910202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172660.297391215</v>
      </c>
      <c r="O13" s="6" t="n">
        <v>153382.5987025966</v>
      </c>
      <c r="P13" s="6" t="n">
        <v>57860.73443742163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131549.9035353575</v>
      </c>
      <c r="O14" s="6" t="n">
        <v>131549.9035353575</v>
      </c>
      <c r="P14" s="6" t="n">
        <v>162541.6133410865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67614.51679630503</v>
      </c>
      <c r="O16" s="6" t="n">
        <v>67614.51679630503</v>
      </c>
      <c r="P16" s="6" t="n">
        <v>52027.10112966759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21683.89345855883</v>
      </c>
      <c r="O18" s="6" t="n">
        <v>21683.89345855883</v>
      </c>
      <c r="P18" s="6" t="n">
        <v>17.57804413878301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21246.29901513505</v>
      </c>
      <c r="O19" s="6" t="n">
        <v>21246.29901513505</v>
      </c>
      <c r="P19" s="6" t="n">
        <v>11256.60433786496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-9.21792e-10</v>
      </c>
      <c r="I20" s="6" t="n">
        <v>0</v>
      </c>
      <c r="J20" s="6" t="n">
        <v>-9.21792e-10</v>
      </c>
      <c r="K20" s="6" t="n">
        <v>0</v>
      </c>
      <c r="L20" s="6" t="n">
        <v>4999001.686505452</v>
      </c>
      <c r="M20" s="7" t="n">
        <v>1</v>
      </c>
      <c r="N20" s="6" t="n">
        <v>11390.99909219296</v>
      </c>
      <c r="O20" s="6" t="n">
        <v>11390.99909219296</v>
      </c>
      <c r="P20" s="6" t="n">
        <v>-11390.99909219388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11390.24695113189</v>
      </c>
      <c r="O21" s="6" t="n">
        <v>11390.24695113189</v>
      </c>
      <c r="P21" s="6" t="n">
        <v>-11390.24695113171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11388.13494028817</v>
      </c>
      <c r="O22" s="6" t="n">
        <v>11388.13494028817</v>
      </c>
      <c r="P22" s="6" t="n">
        <v>-11388.13494028817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5.4e-10</v>
      </c>
      <c r="I23" s="6" t="n">
        <v>0</v>
      </c>
      <c r="J23" s="6" t="n">
        <v>5.4e-10</v>
      </c>
      <c r="K23" s="6" t="n">
        <v>0</v>
      </c>
      <c r="L23" s="6" t="n">
        <v>4954536.773106677</v>
      </c>
      <c r="M23" s="7" t="n">
        <v>1</v>
      </c>
      <c r="N23" s="6" t="n">
        <v>11289.67890469889</v>
      </c>
      <c r="O23" s="6" t="n">
        <v>11289.67890469889</v>
      </c>
      <c r="P23" s="6" t="n">
        <v>-11289.67890469835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</v>
      </c>
      <c r="I24" s="6" t="n">
        <v>0</v>
      </c>
      <c r="J24" s="6" t="n">
        <v>4804.88818014498</v>
      </c>
      <c r="K24" s="6" t="n">
        <v>0</v>
      </c>
      <c r="L24" s="6" t="n">
        <v>1492032.349781683</v>
      </c>
      <c r="M24" s="7" t="n">
        <v>1</v>
      </c>
      <c r="N24" s="6" t="n">
        <v>3399.826646941288</v>
      </c>
      <c r="O24" s="6" t="n">
        <v>3399.826646941288</v>
      </c>
      <c r="P24" s="6" t="n">
        <v>1405.061533203692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2238.56910760877</v>
      </c>
      <c r="O25" s="6" t="n">
        <v>1988.630578588682</v>
      </c>
      <c r="P25" s="6" t="n">
        <v>750.1739230860217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1.053106948726445</v>
      </c>
      <c r="O26" s="6" t="n">
        <v>1.053106948726445</v>
      </c>
      <c r="P26" s="6" t="n">
        <v>75.27735857047929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1.161345275089762</v>
      </c>
      <c r="I27" s="6" t="n">
        <v>0</v>
      </c>
      <c r="J27" s="6" t="n">
        <v>1.161345275089762</v>
      </c>
      <c r="K27" s="6" t="n">
        <v>0</v>
      </c>
      <c r="L27" s="6" t="n">
        <v>368.042098157809</v>
      </c>
      <c r="M27" s="7" t="n">
        <v>1</v>
      </c>
      <c r="N27" s="6" t="n">
        <v>0.8386408865036938</v>
      </c>
      <c r="O27" s="6" t="n">
        <v>0.8386408865036938</v>
      </c>
      <c r="P27" s="6" t="n">
        <v>0.3227043885860684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0.6469038233583584</v>
      </c>
      <c r="O28" s="6" t="n">
        <v>0.6469038233583584</v>
      </c>
      <c r="P28" s="6" t="n">
        <v>-0.6469038233583584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0.2627525332276154</v>
      </c>
      <c r="O29" s="6" t="n">
        <v>0.2627525332276154</v>
      </c>
      <c r="P29" s="6" t="n">
        <v>-0.2627525335580742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0.2267290994685442</v>
      </c>
      <c r="O30" s="6" t="n">
        <v>0.2267290994685442</v>
      </c>
      <c r="P30" s="6" t="n">
        <v>0.08503444896558192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0.04991759401912802</v>
      </c>
      <c r="O31" s="6" t="n">
        <v>0.04991759401912802</v>
      </c>
      <c r="P31" s="6" t="n">
        <v>-0.04991154031195803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0.01343920511473919</v>
      </c>
      <c r="O32" s="6" t="n">
        <v>0.01343920511473919</v>
      </c>
      <c r="P32" s="6" t="n">
        <v>0.001950794885260814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0.003521909337100613</v>
      </c>
      <c r="O33" s="6" t="n">
        <v>0.003521909337100613</v>
      </c>
      <c r="P33" s="6" t="n">
        <v>8.4668670906629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0.0003518949364540351</v>
      </c>
      <c r="O34" s="6" t="n">
        <v>0.0003518949364540351</v>
      </c>
      <c r="P34" s="6" t="n">
        <v>0.0003821050635459649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0.0001316675091990825</v>
      </c>
      <c r="O35" s="6" t="n">
        <v>0.0001316675091990825</v>
      </c>
      <c r="P35" s="6" t="n">
        <v>5.433249080091749e-05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1.446034323896955e-05</v>
      </c>
      <c r="O36" s="6" t="n">
        <v>1.446034323896955e-05</v>
      </c>
      <c r="P36" s="6" t="n">
        <v>2.539656761030448e-06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1.308923812553066e-05</v>
      </c>
      <c r="O37" s="6" t="n">
        <v>1.308923812553066e-05</v>
      </c>
      <c r="P37" s="6" t="n">
        <v>-1.094541362016066e-05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3.873713127363416e-06</v>
      </c>
      <c r="O38" s="6" t="n">
        <v>3.873713127363416e-06</v>
      </c>
      <c r="P38" s="6" t="n">
        <v>1.126286872636584e-06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2.825861582343615e-06</v>
      </c>
      <c r="O39" s="6" t="n">
        <v>2.825861582343615e-06</v>
      </c>
      <c r="P39" s="6" t="n">
        <v>-2.825861582343615e-06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1.18710295284965e-06</v>
      </c>
      <c r="O40" s="6" t="n">
        <v>1.18710295284965e-06</v>
      </c>
      <c r="P40" s="6" t="n">
        <v>-4.8039614604065e-07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1.706627571387951e-07</v>
      </c>
      <c r="O41" s="6" t="n">
        <v>1.706627571387951e-07</v>
      </c>
      <c r="P41" s="6" t="n">
        <v>-1.706627571387951e-07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891780.2799998628</v>
      </c>
      <c r="I46" s="6" t="n">
        <v>0</v>
      </c>
      <c r="J46" s="6" t="n">
        <v>891780.2799998628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891780.2799998628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7.850176e-07</v>
      </c>
      <c r="I47" s="6" t="n">
        <v>0</v>
      </c>
      <c r="J47" s="6" t="n">
        <v>7.850176e-07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7.850176e-07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-2.7208051e-06</v>
      </c>
      <c r="I48" s="6" t="n">
        <v>0</v>
      </c>
      <c r="J48" s="6" t="n">
        <v>-2.7208051e-06</v>
      </c>
      <c r="K48" s="6" t="n">
        <v>0</v>
      </c>
      <c r="L48" s="6" t="n">
        <v>17.83075728228825</v>
      </c>
      <c r="M48" s="7" t="n">
        <v>0</v>
      </c>
      <c r="N48" s="6" t="n">
        <v>0</v>
      </c>
      <c r="O48" s="6" t="n">
        <v>0</v>
      </c>
      <c r="P48" s="6" t="n">
        <v>-2.7208051e-06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3356195943.673027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2356195943.673027</v>
      </c>
    </row>
    <row r="8">
      <c r="A8" t="inlineStr">
        <is>
          <t>Base rate (BR = SSR + 30bps), period avg</t>
        </is>
      </c>
      <c r="B8" s="7" t="n">
        <v>0.03951513515348828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0.03871429258669792</v>
      </c>
    </row>
    <row r="12">
      <c r="A12" s="8" t="inlineStr">
        <is>
          <t>Diff vs base rate (bps)</t>
        </is>
      </c>
      <c r="B12" s="11" t="n">
        <v>-8.008425667903683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11047394.95315541</v>
      </c>
    </row>
    <row r="16">
      <c r="A16" t="inlineStr">
        <is>
          <t xml:space="preserve">  − actual CoF (subsidy on first tranche)</t>
        </is>
      </c>
      <c r="B16" s="3" t="n">
        <v>10827488.55337466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2356195943.673027</v>
      </c>
      <c r="C21" s="3" t="n">
        <v>7755973.525057507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10642578.13467968</v>
      </c>
    </row>
    <row r="25">
      <c r="A25" t="inlineStr">
        <is>
          <t>+ Sky-Direct revenue (full venue yield on fixed/capped SDE)</t>
        </is>
      </c>
      <c r="B25" s="3" t="n">
        <v>40550.6842112442</v>
      </c>
    </row>
    <row r="26">
      <c r="A26" t="inlineStr">
        <is>
          <t>equals sky_revenue (total Sky take this month)</t>
        </is>
      </c>
      <c r="B26" s="3" t="n">
        <v>10683128.81889092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10642578.13467968</v>
      </c>
    </row>
    <row r="32">
      <c r="A32" t="inlineStr">
        <is>
          <t xml:space="preserve">    ↳ reduction from idle/SDE deductions</t>
        </is>
      </c>
      <c r="B32" s="3" t="n">
        <v>-2749286.851285571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337381.4365374905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374319.5082814827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373669.0494405744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363545.5358011322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358857.4326079512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336928.4432312262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343828.4959759949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265848.1192409398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347701.6612882871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363037.3030556614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352325.8733623142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345712.9663127756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344773.8800929344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348489.9995617628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351897.1559571559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351679.4301750899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349471.0553605374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365756.2416435395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361154.7182535286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333712.1460489289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325009.2220334444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379232.6385937233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377047.368469083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378655.279807631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378055.1714701112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352383.5789754955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335517.6938324182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332207.7799708258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334877.0319644032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332526.4611067913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331885.8749214238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10827488.55337466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2026-07-03T07:25:43Z</dcterms:created>
  <dcterms:modified xmlns:dcterms="http://purl.org/dc/terms/" xmlns:xsi="http://www.w3.org/2001/XMLSchema-instance" xsi:type="dcterms:W3CDTF">2026-07-03T07:25:43Z</dcterms:modified>
</cp:coreProperties>
</file>