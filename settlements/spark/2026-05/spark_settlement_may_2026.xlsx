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13603389.18690488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>
        <is>
          <t>+ distribution_rewards (settle-dr-dune)</t>
        </is>
      </c>
      <c r="B6" s="3" t="n">
        <v>1629543.84</v>
      </c>
    </row>
    <row r="7">
      <c r="A7" t="inlineStr"/>
      <c r="B7" s="4" t="n">
        <v>15351511.20630362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10679339.17037492</v>
      </c>
    </row>
    <row r="11">
      <c r="A11" t="inlineStr">
        <is>
          <t>+ SDE revenue (Sky-Direct, full to Sky)</t>
        </is>
      </c>
      <c r="B11" s="3" t="n">
        <v>40533.95751528406</v>
      </c>
    </row>
    <row r="12">
      <c r="A12" t="inlineStr"/>
      <c r="B12" s="4" t="n">
        <v>10719873.1278902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10679339.17037492</v>
      </c>
    </row>
    <row r="16">
      <c r="A16" t="inlineStr">
        <is>
          <t>reduction from idle/SDE deductions</t>
        </is>
      </c>
      <c r="B16" s="3" t="n">
        <v>-2751276.398396889</v>
      </c>
    </row>
    <row r="17">
      <c r="A17" t="inlineStr"/>
      <c r="B17" s="4" t="n">
        <v>13430615.56877181</v>
      </c>
    </row>
    <row r="19">
      <c r="A19" s="5" t="inlineStr">
        <is>
          <t>sUSDS spread (Curve LP + PSM3) — deducted from sky_revenue</t>
        </is>
      </c>
      <c r="B19" s="3" t="n">
        <v>184910.418694979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13603389.18690488</v>
      </c>
    </row>
    <row r="23">
      <c r="A23" t="inlineStr">
        <is>
          <t>− CoF (deducted per-venue in display)</t>
        </is>
      </c>
      <c r="B23" s="3" t="n">
        <v>-10679339.17037492</v>
      </c>
    </row>
    <row r="24">
      <c r="A24" t="inlineStr"/>
      <c r="B24" s="4" t="n">
        <v>1543738.885077177</v>
      </c>
    </row>
    <row r="26">
      <c r="A26" t="inlineStr">
        <is>
          <t>Period</t>
        </is>
      </c>
      <c r="B26" t="inlineStr">
        <is>
          <t>2026-05-01 → 2026-05-31 (31 days)</t>
        </is>
      </c>
    </row>
    <row r="27">
      <c r="A27" t="inlineStr">
        <is>
          <t>Pin blocks</t>
        </is>
      </c>
      <c r="B27" t="inlineStr">
        <is>
          <t>arbitrum=468748167, avalanche_c=86865826, base=46741326, ethereum=25218797, optimism=152336611, unichain=49523640</t>
        </is>
      </c>
    </row>
    <row r="28">
      <c r="A28" t="inlineStr">
        <is>
          <t>Generated</t>
        </is>
      </c>
      <c r="B28" t="inlineStr">
        <is>
          <t>2026-07-31T00:21:48+00:00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3834450.909129192</v>
      </c>
      <c r="I2" s="6" t="n">
        <v>0</v>
      </c>
      <c r="J2" s="6" t="n">
        <v>3834450.909129192</v>
      </c>
      <c r="K2" s="6" t="n">
        <v>0</v>
      </c>
      <c r="L2" s="6" t="n">
        <v>1900678578.685408</v>
      </c>
      <c r="M2" s="7" t="n">
        <v>1</v>
      </c>
      <c r="N2" s="6" t="n">
        <v>4393984.133570189</v>
      </c>
      <c r="O2" s="6" t="n">
        <v>4393984.133570189</v>
      </c>
      <c r="P2" s="6" t="n">
        <v>-559533.2244409967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1552934.487952215</v>
      </c>
      <c r="O3" s="6" t="n">
        <v>1552934.487952215</v>
      </c>
      <c r="P3" s="6" t="n">
        <v>315177.6802837852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3091579.99999999</v>
      </c>
      <c r="I4" s="6" t="n">
        <v>0</v>
      </c>
      <c r="J4" s="6" t="n">
        <v>3091579.99999999</v>
      </c>
      <c r="K4" s="6" t="n">
        <v>0</v>
      </c>
      <c r="L4" s="6" t="n">
        <v>615465268.6039779</v>
      </c>
      <c r="M4" s="7" t="n">
        <v>1</v>
      </c>
      <c r="N4" s="6" t="n">
        <v>1422831.116916063</v>
      </c>
      <c r="O4" s="6" t="n">
        <v>1422831.116916063</v>
      </c>
      <c r="P4" s="6" t="n">
        <v>1668748.883083927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487476634.2639929</v>
      </c>
      <c r="M5" s="7" t="n">
        <v>1</v>
      </c>
      <c r="N5" s="6" t="n">
        <v>1126947.302117573</v>
      </c>
      <c r="O5" s="6" t="n">
        <v>1126947.302117573</v>
      </c>
      <c r="P5" s="6" t="n">
        <v>-1126947.302117573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415081.9062390519</v>
      </c>
      <c r="O6" s="6" t="n">
        <v>415081.9062390519</v>
      </c>
      <c r="P6" s="6" t="n">
        <v>144371.0330021674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331346.637498738</v>
      </c>
      <c r="O7" s="6" t="n">
        <v>294881.8236569404</v>
      </c>
      <c r="P7" s="6" t="n">
        <v>104696.4114162865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242921.8686566477</v>
      </c>
      <c r="O8" s="6" t="n">
        <v>242921.8686566477</v>
      </c>
      <c r="P8" s="6" t="n">
        <v>180608.7399265539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231180.0934764272</v>
      </c>
      <c r="O9" s="6" t="n">
        <v>231180.0934764272</v>
      </c>
      <c r="P9" s="6" t="n">
        <v>-202176.1227764272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231176.2659997913</v>
      </c>
      <c r="O10" s="6" t="n">
        <v>231176.2659997913</v>
      </c>
      <c r="P10" s="6" t="n">
        <v>-224790.382128151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235898.1204826733</v>
      </c>
      <c r="O11" s="6" t="n">
        <v>209937.4494646571</v>
      </c>
      <c r="P11" s="6" t="n">
        <v>74537.30890652772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217269.396446639</v>
      </c>
      <c r="I12" s="6" t="n">
        <v>0</v>
      </c>
      <c r="J12" s="6" t="n">
        <v>217269.396446639</v>
      </c>
      <c r="K12" s="6" t="n">
        <v>0</v>
      </c>
      <c r="L12" s="6" t="n">
        <v>89619946.74579926</v>
      </c>
      <c r="M12" s="7" t="n">
        <v>1</v>
      </c>
      <c r="N12" s="6" t="n">
        <v>207183.1757712599</v>
      </c>
      <c r="O12" s="6" t="n">
        <v>207183.1757712599</v>
      </c>
      <c r="P12" s="6" t="n">
        <v>10086.22067537909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175171.6234422616</v>
      </c>
      <c r="O13" s="6" t="n">
        <v>155893.9247536432</v>
      </c>
      <c r="P13" s="6" t="n">
        <v>55349.40838637509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133463.2831874987</v>
      </c>
      <c r="O14" s="6" t="n">
        <v>133463.2831874987</v>
      </c>
      <c r="P14" s="6" t="n">
        <v>160628.2336889453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68597.9629042122</v>
      </c>
      <c r="O16" s="6" t="n">
        <v>68597.9629042122</v>
      </c>
      <c r="P16" s="6" t="n">
        <v>51043.65502176042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21999.28343154845</v>
      </c>
      <c r="O18" s="6" t="n">
        <v>21999.28343154845</v>
      </c>
      <c r="P18" s="6" t="n">
        <v>-297.811928850844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21555.3242225001</v>
      </c>
      <c r="O19" s="6" t="n">
        <v>21555.3242225001</v>
      </c>
      <c r="P19" s="6" t="n">
        <v>10947.5791304999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5009602.263622</v>
      </c>
      <c r="F20" s="6" t="n">
        <v>4975417.167355</v>
      </c>
      <c r="G20" s="6" t="n">
        <v>-34185.096267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5008499.518581129</v>
      </c>
      <c r="M20" s="7" t="n">
        <v>1</v>
      </c>
      <c r="N20" s="6" t="n">
        <v>11578.63705333103</v>
      </c>
      <c r="O20" s="6" t="n">
        <v>11578.63705333103</v>
      </c>
      <c r="P20" s="6" t="n">
        <v>-11578.63705333103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5000645.077419355</v>
      </c>
      <c r="M21" s="7" t="n">
        <v>1</v>
      </c>
      <c r="N21" s="6" t="n">
        <v>11560.47917528162</v>
      </c>
      <c r="O21" s="6" t="n">
        <v>11560.47917528162</v>
      </c>
      <c r="P21" s="6" t="n">
        <v>-11560.47917528162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4997576.708614</v>
      </c>
      <c r="G22" s="6" t="n">
        <v>-2423.291386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4999921.829310129</v>
      </c>
      <c r="M22" s="7" t="n">
        <v>1</v>
      </c>
      <c r="N22" s="6" t="n">
        <v>11558.80717205487</v>
      </c>
      <c r="O22" s="6" t="n">
        <v>11558.80717205487</v>
      </c>
      <c r="P22" s="6" t="n">
        <v>-11558.80717205487</v>
      </c>
      <c r="Q22" s="6" t="n">
        <v>0</v>
      </c>
      <c r="R22" s="6" t="n">
        <v>0</v>
      </c>
      <c r="S22" t="inlineStr"/>
    </row>
    <row r="23">
      <c r="A23" t="inlineStr">
        <is>
          <t>S53</t>
        </is>
      </c>
      <c r="B23" t="inlineStr">
        <is>
          <t>USDC raw (Unichain — ALM idle)</t>
        </is>
      </c>
      <c r="C23" t="inlineStr">
        <is>
          <t>unichain</t>
        </is>
      </c>
      <c r="D23" t="inlineStr">
        <is>
          <t>A</t>
        </is>
      </c>
      <c r="E23" s="6" t="n">
        <v>4996314.282982</v>
      </c>
      <c r="F23" s="6" t="n">
        <v>4992819.462732</v>
      </c>
      <c r="G23" s="6" t="n">
        <v>-3494.82025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4996201.546844903</v>
      </c>
      <c r="M23" s="7" t="n">
        <v>1</v>
      </c>
      <c r="N23" s="6" t="n">
        <v>11550.20663206462</v>
      </c>
      <c r="O23" s="6" t="n">
        <v>11550.20663206462</v>
      </c>
      <c r="P23" s="6" t="n">
        <v>-11550.20663206462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</v>
      </c>
      <c r="I24" s="6" t="n">
        <v>0</v>
      </c>
      <c r="J24" s="6" t="n">
        <v>4804.88818014498</v>
      </c>
      <c r="K24" s="6" t="n">
        <v>0</v>
      </c>
      <c r="L24" s="6" t="n">
        <v>1492032.349781683</v>
      </c>
      <c r="M24" s="7" t="n">
        <v>1</v>
      </c>
      <c r="N24" s="6" t="n">
        <v>3449.276771587837</v>
      </c>
      <c r="O24" s="6" t="n">
        <v>3449.276771587837</v>
      </c>
      <c r="P24" s="6" t="n">
        <v>1355.611408557143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2271.128862236483</v>
      </c>
      <c r="O25" s="6" t="n">
        <v>2021.190333216395</v>
      </c>
      <c r="P25" s="6" t="n">
        <v>717.6141684583088</v>
      </c>
      <c r="Q25" s="6" t="n">
        <v>0</v>
      </c>
      <c r="R25" s="6" t="n">
        <v>249.9385290200882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219995.8104343477</v>
      </c>
      <c r="F26" s="6" t="n">
        <v>1250066.267840007</v>
      </c>
      <c r="G26" s="6" t="n">
        <v>1030070.45740566</v>
      </c>
      <c r="H26" s="6" t="n">
        <v>-16.66956268247493</v>
      </c>
      <c r="I26" s="6" t="n">
        <v>0</v>
      </c>
      <c r="J26" s="6" t="n">
        <v>0</v>
      </c>
      <c r="K26" s="6" t="n">
        <v>-16.66956268247493</v>
      </c>
      <c r="L26" s="6" t="n">
        <v>386130.3073909548</v>
      </c>
      <c r="M26" s="7" t="n">
        <v>0</v>
      </c>
      <c r="N26" s="6" t="n">
        <v>0</v>
      </c>
      <c r="O26" s="6" t="n">
        <v>-16.66956268247493</v>
      </c>
      <c r="P26" s="6" t="n">
        <v>0</v>
      </c>
      <c r="Q26" s="6" t="n">
        <v>386130.3073909548</v>
      </c>
      <c r="R26" s="6" t="n">
        <v>0</v>
      </c>
      <c r="S26" t="inlineStr">
        <is>
          <t>SDE (fixed)</t>
        </is>
      </c>
    </row>
    <row r="27">
      <c r="A27" t="inlineStr">
        <is>
          <t>S55</t>
        </is>
      </c>
      <c r="B27" t="inlineStr">
        <is>
          <t>USDC raw (Avalanche-C — ALM idle)</t>
        </is>
      </c>
      <c r="C27" t="inlineStr">
        <is>
          <t>avalanche_c</t>
        </is>
      </c>
      <c r="D27" t="inlineStr">
        <is>
          <t>A</t>
        </is>
      </c>
      <c r="E27" s="6" t="n">
        <v>2500.221225</v>
      </c>
      <c r="F27" s="6" t="n">
        <v>0</v>
      </c>
      <c r="G27" s="6" t="n">
        <v>-2500.221225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2419.568927419355</v>
      </c>
      <c r="M27" s="7" t="n">
        <v>1</v>
      </c>
      <c r="N27" s="6" t="n">
        <v>5.593553584695698</v>
      </c>
      <c r="O27" s="6" t="n">
        <v>5.593553584695698</v>
      </c>
      <c r="P27" s="6" t="n">
        <v>-5.593553584695698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458.5728307677575</v>
      </c>
      <c r="F28" s="6" t="n">
        <v>539.8728953809741</v>
      </c>
      <c r="G28" s="6" t="n">
        <v>81.30006461321658</v>
      </c>
      <c r="H28" s="6" t="n">
        <v>76.33046551920575</v>
      </c>
      <c r="I28" s="6" t="n">
        <v>0</v>
      </c>
      <c r="J28" s="6" t="n">
        <v>76.33046551920575</v>
      </c>
      <c r="K28" s="6" t="n">
        <v>0</v>
      </c>
      <c r="L28" s="6" t="n">
        <v>462.161691889013</v>
      </c>
      <c r="M28" s="7" t="n">
        <v>1</v>
      </c>
      <c r="N28" s="6" t="n">
        <v>1.06842427966375</v>
      </c>
      <c r="O28" s="6" t="n">
        <v>1.06842427966375</v>
      </c>
      <c r="P28" s="6" t="n">
        <v>75.26204123954199</v>
      </c>
      <c r="Q28" s="6" t="n">
        <v>0</v>
      </c>
      <c r="R28" s="6" t="n">
        <v>0</v>
      </c>
      <c r="S28" t="inlineStr"/>
    </row>
    <row r="29">
      <c r="A29" t="inlineStr">
        <is>
          <t>S34</t>
        </is>
      </c>
      <c r="B29" t="inlineStr">
        <is>
          <t>Spark USDC Vault (Morpho, Base)</t>
        </is>
      </c>
      <c r="C29" t="inlineStr">
        <is>
          <t>base</t>
        </is>
      </c>
      <c r="D29" t="inlineStr">
        <is>
          <t>B</t>
        </is>
      </c>
      <c r="E29" s="6" t="n">
        <v>224.7175624853434</v>
      </c>
      <c r="F29" s="6" t="n">
        <v>424.9110349025811</v>
      </c>
      <c r="G29" s="6" t="n">
        <v>200.1934724172377</v>
      </c>
      <c r="H29" s="6" t="n">
        <v>1.161345275089762</v>
      </c>
      <c r="I29" s="6" t="n">
        <v>0</v>
      </c>
      <c r="J29" s="6" t="n">
        <v>1.161345275089762</v>
      </c>
      <c r="K29" s="6" t="n">
        <v>0</v>
      </c>
      <c r="L29" s="6" t="n">
        <v>368.042098157809</v>
      </c>
      <c r="M29" s="7" t="n">
        <v>1</v>
      </c>
      <c r="N29" s="6" t="n">
        <v>0.8508388308925968</v>
      </c>
      <c r="O29" s="6" t="n">
        <v>0.8508388308925968</v>
      </c>
      <c r="P29" s="6" t="n">
        <v>0.3105064441971654</v>
      </c>
      <c r="Q29" s="6" t="n">
        <v>0</v>
      </c>
      <c r="R29" s="6" t="n">
        <v>0</v>
      </c>
      <c r="S29" t="inlineStr"/>
    </row>
    <row r="30">
      <c r="A30" t="inlineStr">
        <is>
          <t>S36</t>
        </is>
      </c>
      <c r="B30" t="inlineStr">
        <is>
          <t>Fluid Savings USDS (fsUSDS, Base)</t>
        </is>
      </c>
      <c r="C30" t="inlineStr">
        <is>
          <t>base</t>
        </is>
      </c>
      <c r="D30" t="inlineStr">
        <is>
          <t>B</t>
        </is>
      </c>
      <c r="E30" s="6" t="n">
        <v>283.8972488542868</v>
      </c>
      <c r="F30" s="6" t="n">
        <v>283.8972488542868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283.8972488542868</v>
      </c>
      <c r="M30" s="7" t="n">
        <v>1</v>
      </c>
      <c r="N30" s="6" t="n">
        <v>0.6563129721242756</v>
      </c>
      <c r="O30" s="6" t="n">
        <v>0.6563129721242756</v>
      </c>
      <c r="P30" s="6" t="n">
        <v>-0.6563129721242756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99.50129408753318</v>
      </c>
      <c r="F31" s="6" t="n">
        <v>99.81305763596731</v>
      </c>
      <c r="G31" s="6" t="n">
        <v>0.3117635484341261</v>
      </c>
      <c r="H31" s="6" t="n">
        <v>0.3117635484341261</v>
      </c>
      <c r="I31" s="6" t="n">
        <v>0</v>
      </c>
      <c r="J31" s="6" t="n">
        <v>0.3117635484341261</v>
      </c>
      <c r="K31" s="6" t="n">
        <v>0</v>
      </c>
      <c r="L31" s="6" t="n">
        <v>99.50129408753318</v>
      </c>
      <c r="M31" s="7" t="n">
        <v>1</v>
      </c>
      <c r="N31" s="6" t="n">
        <v>0.2300268506170642</v>
      </c>
      <c r="O31" s="6" t="n">
        <v>0.2300268506170642</v>
      </c>
      <c r="P31" s="6" t="n">
        <v>0.08173669781706197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220002.7079018081</v>
      </c>
      <c r="F32" s="6" t="n">
        <v>220002.6507685304</v>
      </c>
      <c r="G32" s="6" t="n">
        <v>-0.0571332776681098</v>
      </c>
      <c r="H32" s="6" t="n">
        <v>-0.0571332776681098</v>
      </c>
      <c r="I32" s="6" t="n">
        <v>0</v>
      </c>
      <c r="J32" s="6" t="n">
        <v>0</v>
      </c>
      <c r="K32" s="6" t="n">
        <v>-0.0571332776681098</v>
      </c>
      <c r="L32" s="6" t="n">
        <v>220002.7079018081</v>
      </c>
      <c r="M32" s="7" t="n">
        <v>0</v>
      </c>
      <c r="N32" s="6" t="n">
        <v>0</v>
      </c>
      <c r="O32" s="6" t="n">
        <v>-0.0571332776681098</v>
      </c>
      <c r="P32" s="6" t="n">
        <v>0</v>
      </c>
      <c r="Q32" s="6" t="n">
        <v>220002.7079018081</v>
      </c>
      <c r="R32" s="6" t="n">
        <v>0</v>
      </c>
      <c r="S32" t="inlineStr">
        <is>
          <t>SDE (fixed)</t>
        </is>
      </c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21.90660666972937</v>
      </c>
      <c r="F33" s="6" t="n">
        <v>21.90661272343654</v>
      </c>
      <c r="G33" s="6" t="n">
        <v>6.053707169991468e-06</v>
      </c>
      <c r="H33" s="6" t="n">
        <v>6.053707169991468e-06</v>
      </c>
      <c r="I33" s="6" t="n">
        <v>0</v>
      </c>
      <c r="J33" s="6" t="n">
        <v>6.053707169991468e-06</v>
      </c>
      <c r="K33" s="6" t="n">
        <v>0</v>
      </c>
      <c r="L33" s="6" t="n">
        <v>21.90660666972937</v>
      </c>
      <c r="M33" s="7" t="n">
        <v>1</v>
      </c>
      <c r="N33" s="6" t="n">
        <v>0.05064364022754941</v>
      </c>
      <c r="O33" s="6" t="n">
        <v>0.05064364022754941</v>
      </c>
      <c r="P33" s="6" t="n">
        <v>-0.05063758652037942</v>
      </c>
      <c r="Q33" s="6" t="n">
        <v>0</v>
      </c>
      <c r="R33" s="6" t="n">
        <v>0</v>
      </c>
      <c r="S33" t="inlineStr"/>
    </row>
    <row r="34">
      <c r="A34" t="inlineStr">
        <is>
          <t>S9</t>
        </is>
      </c>
      <c r="B34" t="inlineStr">
        <is>
          <t>Aave Ethereum USDT (aToken)</t>
        </is>
      </c>
      <c r="C34" t="inlineStr">
        <is>
          <t>ethereum</t>
        </is>
      </c>
      <c r="D34" t="inlineStr">
        <is>
          <t>C</t>
        </is>
      </c>
      <c r="E34" s="6" t="n">
        <v>5.897868</v>
      </c>
      <c r="F34" s="6" t="n">
        <v>5.913258</v>
      </c>
      <c r="G34" s="6" t="n">
        <v>0.01539</v>
      </c>
      <c r="H34" s="6" t="n">
        <v>0.01539</v>
      </c>
      <c r="I34" s="6" t="n">
        <v>0</v>
      </c>
      <c r="J34" s="6" t="n">
        <v>0.01539</v>
      </c>
      <c r="K34" s="6" t="n">
        <v>0</v>
      </c>
      <c r="L34" s="6" t="n">
        <v>5.897868</v>
      </c>
      <c r="M34" s="7" t="n">
        <v>1</v>
      </c>
      <c r="N34" s="6" t="n">
        <v>0.01363467695406731</v>
      </c>
      <c r="O34" s="6" t="n">
        <v>0.01363467695406731</v>
      </c>
      <c r="P34" s="6" t="n">
        <v>0.001755323045932687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1.545609</v>
      </c>
      <c r="F35" s="6" t="n">
        <v>10.015998</v>
      </c>
      <c r="G35" s="6" t="n">
        <v>8.470389000000001</v>
      </c>
      <c r="H35" s="6" t="n">
        <v>8.470389000000001</v>
      </c>
      <c r="I35" s="6" t="n">
        <v>0</v>
      </c>
      <c r="J35" s="6" t="n">
        <v>8.470389000000001</v>
      </c>
      <c r="K35" s="6" t="n">
        <v>0</v>
      </c>
      <c r="L35" s="6" t="n">
        <v>1.545609</v>
      </c>
      <c r="M35" s="7" t="n">
        <v>1</v>
      </c>
      <c r="N35" s="6" t="n">
        <v>0.003573135141766317</v>
      </c>
      <c r="O35" s="6" t="n">
        <v>0.003573135141766317</v>
      </c>
      <c r="P35" s="6" t="n">
        <v>8.466815864858233</v>
      </c>
      <c r="Q35" s="6" t="n">
        <v>0</v>
      </c>
      <c r="R35" s="6" t="n">
        <v>0</v>
      </c>
      <c r="S35" t="inlineStr"/>
    </row>
    <row r="36">
      <c r="A36" t="inlineStr">
        <is>
          <t>S54</t>
        </is>
      </c>
      <c r="B36" t="inlineStr">
        <is>
          <t>Aave Avalanche USDC (aAvaUSDC)</t>
        </is>
      </c>
      <c r="C36" t="inlineStr">
        <is>
          <t>avalanche_c</t>
        </is>
      </c>
      <c r="D36" t="inlineStr">
        <is>
          <t>C</t>
        </is>
      </c>
      <c r="E36" s="6" t="n">
        <v>0.154431</v>
      </c>
      <c r="F36" s="6" t="n">
        <v>0.155165</v>
      </c>
      <c r="G36" s="6" t="n">
        <v>0.000734</v>
      </c>
      <c r="H36" s="6" t="n">
        <v>0.000734</v>
      </c>
      <c r="I36" s="6" t="n">
        <v>0</v>
      </c>
      <c r="J36" s="6" t="n">
        <v>0.000734</v>
      </c>
      <c r="K36" s="6" t="n">
        <v>0</v>
      </c>
      <c r="L36" s="6" t="n">
        <v>0.154431</v>
      </c>
      <c r="M36" s="7" t="n">
        <v>1</v>
      </c>
      <c r="N36" s="6" t="n">
        <v>0.000357013211671331</v>
      </c>
      <c r="O36" s="6" t="n">
        <v>0.000357013211671331</v>
      </c>
      <c r="P36" s="6" t="n">
        <v>0.0003769867883286691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0.057783</v>
      </c>
      <c r="F37" s="6" t="n">
        <v>0.057969</v>
      </c>
      <c r="G37" s="6" t="n">
        <v>0.000186</v>
      </c>
      <c r="H37" s="6" t="n">
        <v>0.000186</v>
      </c>
      <c r="I37" s="6" t="n">
        <v>0</v>
      </c>
      <c r="J37" s="6" t="n">
        <v>0.000186</v>
      </c>
      <c r="K37" s="6" t="n">
        <v>0</v>
      </c>
      <c r="L37" s="6" t="n">
        <v>0.057783</v>
      </c>
      <c r="M37" s="7" t="n">
        <v>1</v>
      </c>
      <c r="N37" s="6" t="n">
        <v>0.0001335825994133595</v>
      </c>
      <c r="O37" s="6" t="n">
        <v>0.0001335825994133595</v>
      </c>
      <c r="P37" s="6" t="n">
        <v>5.241740058664053e-05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0.006346</v>
      </c>
      <c r="F38" s="6" t="n">
        <v>0.006363</v>
      </c>
      <c r="G38" s="6" t="n">
        <v>1.7e-05</v>
      </c>
      <c r="H38" s="6" t="n">
        <v>1.7e-05</v>
      </c>
      <c r="I38" s="6" t="n">
        <v>0</v>
      </c>
      <c r="J38" s="6" t="n">
        <v>1.7e-05</v>
      </c>
      <c r="K38" s="6" t="n">
        <v>0</v>
      </c>
      <c r="L38" s="6" t="n">
        <v>0.006346</v>
      </c>
      <c r="M38" s="7" t="n">
        <v>1</v>
      </c>
      <c r="N38" s="6" t="n">
        <v>1.467066742601075e-05</v>
      </c>
      <c r="O38" s="6" t="n">
        <v>1.467066742601075e-05</v>
      </c>
      <c r="P38" s="6" t="n">
        <v>2.32933257398925e-06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0.005744283090097436</v>
      </c>
      <c r="F39" s="6" t="n">
        <v>0.005746426914602806</v>
      </c>
      <c r="G39" s="6" t="n">
        <v>2.14382450537e-06</v>
      </c>
      <c r="H39" s="6" t="n">
        <v>2.14382450537e-06</v>
      </c>
      <c r="I39" s="6" t="n">
        <v>0</v>
      </c>
      <c r="J39" s="6" t="n">
        <v>2.14382450537e-06</v>
      </c>
      <c r="K39" s="6" t="n">
        <v>0</v>
      </c>
      <c r="L39" s="6" t="n">
        <v>0.005744283090097436</v>
      </c>
      <c r="M39" s="7" t="n">
        <v>1</v>
      </c>
      <c r="N39" s="6" t="n">
        <v>1.327961973143347e-05</v>
      </c>
      <c r="O39" s="6" t="n">
        <v>1.327961973143347e-05</v>
      </c>
      <c r="P39" s="6" t="n">
        <v>-1.113579522606348e-05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0.0017</v>
      </c>
      <c r="F40" s="6" t="n">
        <v>0.001705</v>
      </c>
      <c r="G40" s="6" t="n">
        <v>5e-06</v>
      </c>
      <c r="H40" s="6" t="n">
        <v>5e-06</v>
      </c>
      <c r="I40" s="6" t="n">
        <v>0</v>
      </c>
      <c r="J40" s="6" t="n">
        <v>5e-06</v>
      </c>
      <c r="K40" s="6" t="n">
        <v>0</v>
      </c>
      <c r="L40" s="6" t="n">
        <v>0.0017</v>
      </c>
      <c r="M40" s="7" t="n">
        <v>1</v>
      </c>
      <c r="N40" s="6" t="n">
        <v>3.930055881534553e-06</v>
      </c>
      <c r="O40" s="6" t="n">
        <v>3.930055881534553e-06</v>
      </c>
      <c r="P40" s="6" t="n">
        <v>1.069944118465447e-06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2.866963444877255e-06</v>
      </c>
      <c r="O41" s="6" t="n">
        <v>2.866963444877255e-06</v>
      </c>
      <c r="P41" s="6" t="n">
        <v>-2.866963444877255e-06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0.0005209665645060241</v>
      </c>
      <c r="F42" s="6" t="n">
        <v>0.000521673271312833</v>
      </c>
      <c r="G42" s="6" t="n">
        <v>7.06706806809e-07</v>
      </c>
      <c r="H42" s="6" t="n">
        <v>7.06706806809e-07</v>
      </c>
      <c r="I42" s="6" t="n">
        <v>0</v>
      </c>
      <c r="J42" s="6" t="n">
        <v>7.06706806809e-07</v>
      </c>
      <c r="K42" s="6" t="n">
        <v>0</v>
      </c>
      <c r="L42" s="6" t="n">
        <v>0.0005209665645060241</v>
      </c>
      <c r="M42" s="7" t="n">
        <v>1</v>
      </c>
      <c r="N42" s="6" t="n">
        <v>1.2043692417175e-06</v>
      </c>
      <c r="O42" s="6" t="n">
        <v>1.2043692417175e-06</v>
      </c>
      <c r="P42" s="6" t="n">
        <v>-4.976624349084999e-07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1.731450291748208e-07</v>
      </c>
      <c r="O43" s="6" t="n">
        <v>1.731450291748208e-07</v>
      </c>
      <c r="P43" s="6" t="n">
        <v>-1.731450291748208e-07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891780.2799998628</v>
      </c>
      <c r="I48" s="6" t="n">
        <v>0</v>
      </c>
      <c r="J48" s="6" t="n">
        <v>891780.2799998628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891780.2799998628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573332157.534611</v>
      </c>
      <c r="F60" s="6" t="n">
        <v>303545287.192935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1134703231.016836</v>
      </c>
      <c r="F61" s="6" t="n">
        <v>1270360913.25412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1066559.875133</v>
      </c>
      <c r="F62" s="6" t="n">
        <v>773533.783718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37138817.432463</v>
      </c>
      <c r="F63" s="6" t="n">
        <v>25647247.422478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3355589811.023948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2355589811.023948</v>
      </c>
    </row>
    <row r="8">
      <c r="A8" t="inlineStr">
        <is>
          <t>Base rate (BR = SSR + 30bps), period avg</t>
        </is>
      </c>
      <c r="B8" s="7" t="n">
        <v>0.03951515566338391</v>
      </c>
    </row>
    <row r="9">
      <c r="A9" t="inlineStr">
        <is>
          <t>Reference rate (tbill_3m), period avg</t>
        </is>
      </c>
      <c r="B9" s="7" t="n">
        <v>0.03685483870967742</v>
      </c>
    </row>
    <row r="10">
      <c r="A10" t="inlineStr">
        <is>
          <t>Subsidised rate (BR*), period avg</t>
        </is>
      </c>
      <c r="B10" s="7" t="n">
        <v>0.03729777196859994</v>
      </c>
    </row>
    <row r="11">
      <c r="A11" s="8" t="inlineStr">
        <is>
          <t>Effective blended rate charged</t>
        </is>
      </c>
      <c r="B11" s="10" t="n">
        <v>0.038855162511856</v>
      </c>
    </row>
    <row r="12">
      <c r="A12" s="8" t="inlineStr">
        <is>
          <t>Diff vs base rate (bps)</t>
        </is>
      </c>
      <c r="B12" s="11" t="n">
        <v>-6.599931515279089</v>
      </c>
    </row>
    <row r="13">
      <c r="A13" s="8" t="inlineStr">
        <is>
          <t>Subsidy benefit to prime (USD)</t>
        </is>
      </c>
      <c r="B13" s="12" t="n">
        <v>181155.816974199</v>
      </c>
    </row>
    <row r="15">
      <c r="A15" t="inlineStr">
        <is>
          <t>CoF at full base rate (no subsidy)</t>
        </is>
      </c>
      <c r="B15" s="3" t="n">
        <v>11045405.4060441</v>
      </c>
    </row>
    <row r="16">
      <c r="A16" t="inlineStr">
        <is>
          <t xml:space="preserve">  − actual CoF (subsidy on first tranche)</t>
        </is>
      </c>
      <c r="B16" s="3" t="n">
        <v>10864249.5890699</v>
      </c>
    </row>
    <row r="17">
      <c r="A17" s="8" t="inlineStr">
        <is>
          <t xml:space="preserve">  = subsidy benefit</t>
        </is>
      </c>
      <c r="B17" s="12" t="n">
        <v>181155.816974199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3110265.611123708</v>
      </c>
    </row>
    <row r="21">
      <c r="A21" t="inlineStr">
        <is>
          <t>Excess (&gt; cap)</t>
        </is>
      </c>
      <c r="B21" s="6" t="n">
        <v>2355589811.023948</v>
      </c>
      <c r="C21" s="3" t="n">
        <v>7753983.977946189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10679339.17037492</v>
      </c>
    </row>
    <row r="25">
      <c r="A25" t="inlineStr">
        <is>
          <t>+ Sky-Direct revenue (full venue yield on fixed/capped SDE)</t>
        </is>
      </c>
      <c r="B25" s="3" t="n">
        <v>40533.95751528406</v>
      </c>
    </row>
    <row r="26">
      <c r="A26" t="inlineStr">
        <is>
          <t>equals sky_revenue (total Sky take this month)</t>
        </is>
      </c>
      <c r="B26" s="3" t="n">
        <v>10719873.1278902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13430615.56877181</v>
      </c>
    </row>
    <row r="31">
      <c r="A31" t="inlineStr">
        <is>
          <t xml:space="preserve">    ↳ actual CoF on Net_Subs (BR × utilized)</t>
        </is>
      </c>
      <c r="B31" s="3" t="n">
        <v>10679339.17037492</v>
      </c>
    </row>
    <row r="32">
      <c r="A32" t="inlineStr">
        <is>
          <t xml:space="preserve">    ↳ reduction from idle/SDE deductions</t>
        </is>
      </c>
      <c r="B32" s="3" t="n">
        <v>-2751276.398396889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-0.0571332776681098</v>
      </c>
      <c r="J6" s="6" t="n">
        <v>-0.0571332776681098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-16.66956268247493</v>
      </c>
      <c r="J7" s="6" t="n">
        <v>-16.66956268247493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82142361.16871259</v>
      </c>
      <c r="F6" s="6" t="n">
        <v>68328535.28923744</v>
      </c>
      <c r="G6" s="6" t="n">
        <v>127906874.3387326</v>
      </c>
      <c r="H6" s="6" t="n">
        <v>3235839214.142131</v>
      </c>
      <c r="I6" s="7" t="n">
        <v>0.03650000241537366</v>
      </c>
      <c r="J6" s="7" t="n">
        <v>0.03960950242261978</v>
      </c>
      <c r="K6" t="n">
        <v>4</v>
      </c>
      <c r="L6" s="7" t="n">
        <v>0.0368</v>
      </c>
      <c r="M6" s="7" t="n">
        <v>0.03726825040376996</v>
      </c>
      <c r="N6" s="3" t="n">
        <v>338215.2667380225</v>
      </c>
      <c r="O6" s="3" t="n">
        <v>415124.201642229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74621119.61822292</v>
      </c>
      <c r="F7" s="6" t="n">
        <v>66577961.80007715</v>
      </c>
      <c r="G7" s="6" t="n">
        <v>131684974.1461452</v>
      </c>
      <c r="H7" s="6" t="n">
        <v>3582901173.893623</v>
      </c>
      <c r="I7" s="7" t="n">
        <v>0.03650000241537366</v>
      </c>
      <c r="J7" s="7" t="n">
        <v>0.03960950242261978</v>
      </c>
      <c r="K7" t="n">
        <v>4</v>
      </c>
      <c r="L7" s="7" t="n">
        <v>0.0368</v>
      </c>
      <c r="M7" s="7" t="n">
        <v>0.03726825040376996</v>
      </c>
      <c r="N7" s="3" t="n">
        <v>375153.3386159662</v>
      </c>
      <c r="O7" s="3" t="n">
        <v>451473.8525079314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78444345.91632521</v>
      </c>
      <c r="F8" s="6" t="n">
        <v>69491495.08307031</v>
      </c>
      <c r="G8" s="6" t="n">
        <v>129926697.4882286</v>
      </c>
      <c r="H8" s="6" t="n">
        <v>3576789605.779292</v>
      </c>
      <c r="I8" s="7" t="n">
        <v>0.03650000241537366</v>
      </c>
      <c r="J8" s="7" t="n">
        <v>0.03960950242261978</v>
      </c>
      <c r="K8" t="n">
        <v>4</v>
      </c>
      <c r="L8" s="7" t="n">
        <v>0.0368</v>
      </c>
      <c r="M8" s="7" t="n">
        <v>0.03726825040376996</v>
      </c>
      <c r="N8" s="3" t="n">
        <v>374502.8797110037</v>
      </c>
      <c r="O8" s="3" t="n">
        <v>451350.6491058076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75981184.90509167</v>
      </c>
      <c r="F9" s="6" t="n">
        <v>64299473.27260611</v>
      </c>
      <c r="G9" s="6" t="n">
        <v>129945312.0277757</v>
      </c>
      <c r="H9" s="6" t="n">
        <v>3481671310.026226</v>
      </c>
      <c r="I9" s="7" t="n">
        <v>0.03650000241537366</v>
      </c>
      <c r="J9" s="7" t="n">
        <v>0.03960950242261978</v>
      </c>
      <c r="K9" t="n">
        <v>4</v>
      </c>
      <c r="L9" s="7" t="n">
        <v>0.037</v>
      </c>
      <c r="M9" s="7" t="n">
        <v>0.03743491707043663</v>
      </c>
      <c r="N9" s="3" t="n">
        <v>364819.5900073207</v>
      </c>
      <c r="O9" s="3" t="n">
        <v>440875.9834676367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62871817.87979747</v>
      </c>
      <c r="F10" s="6" t="n">
        <v>72187288.206479</v>
      </c>
      <c r="G10" s="6" t="n">
        <v>129991339.9884334</v>
      </c>
      <c r="H10" s="6" t="n">
        <v>3437622927.383602</v>
      </c>
      <c r="I10" s="7" t="n">
        <v>0.03650000241537366</v>
      </c>
      <c r="J10" s="7" t="n">
        <v>0.03960950242261978</v>
      </c>
      <c r="K10" t="n">
        <v>4</v>
      </c>
      <c r="L10" s="7" t="n">
        <v>0.0369</v>
      </c>
      <c r="M10" s="7" t="n">
        <v>0.0373515837371033</v>
      </c>
      <c r="N10" s="3" t="n">
        <v>359911.3835955046</v>
      </c>
      <c r="O10" s="3" t="n">
        <v>435443.8717134499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66159636.42202716</v>
      </c>
      <c r="F11" s="6" t="n">
        <v>69377077.90643525</v>
      </c>
      <c r="G11" s="6" t="n">
        <v>132866251.0455103</v>
      </c>
      <c r="H11" s="6" t="n">
        <v>3231582990.285091</v>
      </c>
      <c r="I11" s="7" t="n">
        <v>0.03650000241537366</v>
      </c>
      <c r="J11" s="7" t="n">
        <v>0.03960950242261978</v>
      </c>
      <c r="K11" t="n">
        <v>4</v>
      </c>
      <c r="L11" s="7" t="n">
        <v>0.0369</v>
      </c>
      <c r="M11" s="7" t="n">
        <v>0.0373515837371033</v>
      </c>
      <c r="N11" s="3" t="n">
        <v>337982.3942826991</v>
      </c>
      <c r="O11" s="3" t="n">
        <v>413871.8034864106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69079227.17738196</v>
      </c>
      <c r="F12" s="6" t="n">
        <v>59781549.70206153</v>
      </c>
      <c r="G12" s="6" t="n">
        <v>133190285.3282568</v>
      </c>
      <c r="H12" s="6" t="n">
        <v>3296414361.513577</v>
      </c>
      <c r="I12" s="7" t="n">
        <v>0.03650000241537366</v>
      </c>
      <c r="J12" s="7" t="n">
        <v>0.03960950242261978</v>
      </c>
      <c r="K12" t="n">
        <v>4</v>
      </c>
      <c r="L12" s="7" t="n">
        <v>0.0369</v>
      </c>
      <c r="M12" s="7" t="n">
        <v>0.0373515837371033</v>
      </c>
      <c r="N12" s="3" t="n">
        <v>344882.4470919963</v>
      </c>
      <c r="O12" s="3" t="n">
        <v>420102.4071073283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46671865.5163491</v>
      </c>
      <c r="F13" s="6" t="n">
        <v>62310963.43055655</v>
      </c>
      <c r="G13" s="6" t="n">
        <v>136081135.6656561</v>
      </c>
      <c r="H13" s="6" t="n">
        <v>2563727975.884553</v>
      </c>
      <c r="I13" s="7" t="n">
        <v>0.03650000241537366</v>
      </c>
      <c r="J13" s="7" t="n">
        <v>0.03960950242261978</v>
      </c>
      <c r="K13" t="n">
        <v>4</v>
      </c>
      <c r="L13" s="7" t="n">
        <v>0.0369</v>
      </c>
      <c r="M13" s="7" t="n">
        <v>0.0373515837371033</v>
      </c>
      <c r="N13" s="3" t="n">
        <v>266902.0703438951</v>
      </c>
      <c r="O13" s="3" t="n">
        <v>340316.9573478753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59879909.05062393</v>
      </c>
      <c r="F14" s="6" t="n">
        <v>63326409.10121229</v>
      </c>
      <c r="G14" s="6" t="n">
        <v>136418480.8456975</v>
      </c>
      <c r="H14" s="6" t="n">
        <v>3332805766.721134</v>
      </c>
      <c r="I14" s="7" t="n">
        <v>0.03650000241537366</v>
      </c>
      <c r="J14" s="7" t="n">
        <v>0.03960950242261978</v>
      </c>
      <c r="K14" t="n">
        <v>4</v>
      </c>
      <c r="L14" s="7" t="n">
        <v>0.0369</v>
      </c>
      <c r="M14" s="7" t="n">
        <v>0.0373515837371033</v>
      </c>
      <c r="N14" s="3" t="n">
        <v>348755.6123972882</v>
      </c>
      <c r="O14" s="3" t="n">
        <v>423718.2128136383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63129621.93620015</v>
      </c>
      <c r="F15" s="6" t="n">
        <v>68122254.95171708</v>
      </c>
      <c r="G15" s="6" t="n">
        <v>136520708.1372503</v>
      </c>
      <c r="H15" s="6" t="n">
        <v>3476896066.840832</v>
      </c>
      <c r="I15" s="7" t="n">
        <v>0.03650000241537366</v>
      </c>
      <c r="J15" s="7" t="n">
        <v>0.03960950242261978</v>
      </c>
      <c r="K15" t="n">
        <v>4</v>
      </c>
      <c r="L15" s="7" t="n">
        <v>0.0369</v>
      </c>
      <c r="M15" s="7" t="n">
        <v>0.0373515837371033</v>
      </c>
      <c r="N15" s="3" t="n">
        <v>364091.2540981157</v>
      </c>
      <c r="O15" s="3" t="n">
        <v>439929.858349045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85182147.1144466</v>
      </c>
      <c r="F16" s="6" t="n">
        <v>67637436.39746803</v>
      </c>
      <c r="G16" s="6" t="n">
        <v>146800932.9007985</v>
      </c>
      <c r="H16" s="6" t="n">
        <v>3378322874.40958</v>
      </c>
      <c r="I16" s="7" t="n">
        <v>0.03650000241537366</v>
      </c>
      <c r="J16" s="7" t="n">
        <v>0.03960950242261978</v>
      </c>
      <c r="K16" t="n">
        <v>4</v>
      </c>
      <c r="L16" s="7" t="n">
        <v>0.037</v>
      </c>
      <c r="M16" s="7" t="n">
        <v>0.03743491707043663</v>
      </c>
      <c r="N16" s="3" t="n">
        <v>353820.1363477663</v>
      </c>
      <c r="O16" s="3" t="n">
        <v>433048.7624179245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78378013.05490325</v>
      </c>
      <c r="F17" s="6" t="n">
        <v>58221669.33521393</v>
      </c>
      <c r="G17" s="6" t="n">
        <v>146820705.7658038</v>
      </c>
      <c r="H17" s="6" t="n">
        <v>3316189462.914753</v>
      </c>
      <c r="I17" s="7" t="n">
        <v>0.03650000241537366</v>
      </c>
      <c r="J17" s="7" t="n">
        <v>0.03960950242261978</v>
      </c>
      <c r="K17" t="n">
        <v>4</v>
      </c>
      <c r="L17" s="7" t="n">
        <v>0.037</v>
      </c>
      <c r="M17" s="7" t="n">
        <v>0.03743491707043663</v>
      </c>
      <c r="N17" s="3" t="n">
        <v>347207.2294724027</v>
      </c>
      <c r="O17" s="3" t="n">
        <v>424713.0562623124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86180523.00512178</v>
      </c>
      <c r="F18" s="6" t="n">
        <v>60903325.82203438</v>
      </c>
      <c r="G18" s="6" t="n">
        <v>146084521.7500651</v>
      </c>
      <c r="H18" s="6" t="n">
        <v>3307366014.840533</v>
      </c>
      <c r="I18" s="7" t="n">
        <v>0.03650000241537366</v>
      </c>
      <c r="J18" s="7" t="n">
        <v>0.03960950242261978</v>
      </c>
      <c r="K18" t="n">
        <v>4</v>
      </c>
      <c r="L18" s="7" t="n">
        <v>0.0369</v>
      </c>
      <c r="M18" s="7" t="n">
        <v>0.0373515837371033</v>
      </c>
      <c r="N18" s="3" t="n">
        <v>346048.0399966842</v>
      </c>
      <c r="O18" s="3" t="n">
        <v>424588.6774916226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63532399.84881508</v>
      </c>
      <c r="F19" s="6" t="n">
        <v>58612499.0866286</v>
      </c>
      <c r="G19" s="6" t="n">
        <v>174559965.1979237</v>
      </c>
      <c r="H19" s="6" t="n">
        <v>3342281853.671886</v>
      </c>
      <c r="I19" s="7" t="n">
        <v>0.03650000241537366</v>
      </c>
      <c r="J19" s="7" t="n">
        <v>0.03960950242261978</v>
      </c>
      <c r="K19" t="n">
        <v>4</v>
      </c>
      <c r="L19" s="7" t="n">
        <v>0.0369</v>
      </c>
      <c r="M19" s="7" t="n">
        <v>0.0373515837371033</v>
      </c>
      <c r="N19" s="3" t="n">
        <v>349764.1596352488</v>
      </c>
      <c r="O19" s="3" t="n">
        <v>428681.7402507642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88822044.70791052</v>
      </c>
      <c r="F20" s="6" t="n">
        <v>42311463.37438669</v>
      </c>
      <c r="G20" s="6" t="n">
        <v>169618722.6830847</v>
      </c>
      <c r="H20" s="6" t="n">
        <v>3374294736.239451</v>
      </c>
      <c r="I20" s="7" t="n">
        <v>0.03650000241537366</v>
      </c>
      <c r="J20" s="7" t="n">
        <v>0.03960950242261978</v>
      </c>
      <c r="K20" t="n">
        <v>4</v>
      </c>
      <c r="L20" s="7" t="n">
        <v>0.0369</v>
      </c>
      <c r="M20" s="7" t="n">
        <v>0.0373515837371033</v>
      </c>
      <c r="N20" s="3" t="n">
        <v>353171.3154011748</v>
      </c>
      <c r="O20" s="3" t="n">
        <v>432524.3427534325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87324941.35505652</v>
      </c>
      <c r="F21" s="6" t="n">
        <v>52103028.76518045</v>
      </c>
      <c r="G21" s="6" t="n">
        <v>172338153.0245515</v>
      </c>
      <c r="H21" s="6" t="n">
        <v>3372249036.36082</v>
      </c>
      <c r="I21" s="7" t="n">
        <v>0.03650000241537366</v>
      </c>
      <c r="J21" s="7" t="n">
        <v>0.03960950242261978</v>
      </c>
      <c r="K21" t="n">
        <v>4</v>
      </c>
      <c r="L21" s="7" t="n">
        <v>0.0369</v>
      </c>
      <c r="M21" s="7" t="n">
        <v>0.0373515837371033</v>
      </c>
      <c r="N21" s="3" t="n">
        <v>352953.5899863477</v>
      </c>
      <c r="O21" s="3" t="n">
        <v>433487.6619465318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88161184.05425063</v>
      </c>
      <c r="F22" s="6" t="n">
        <v>60410870.33975412</v>
      </c>
      <c r="G22" s="6" t="n">
        <v>162877756.5589872</v>
      </c>
      <c r="H22" s="6" t="n">
        <v>3351499631.479944</v>
      </c>
      <c r="I22" s="7" t="n">
        <v>0.03650000241537366</v>
      </c>
      <c r="J22" s="7" t="n">
        <v>0.03960950242261978</v>
      </c>
      <c r="K22" t="n">
        <v>4</v>
      </c>
      <c r="L22" s="7" t="n">
        <v>0.0369</v>
      </c>
      <c r="M22" s="7" t="n">
        <v>0.0373515837371033</v>
      </c>
      <c r="N22" s="3" t="n">
        <v>350745.2148320578</v>
      </c>
      <c r="O22" s="3" t="n">
        <v>431267.6379108802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89402812.06936745</v>
      </c>
      <c r="F23" s="6" t="n">
        <v>42859433.25500631</v>
      </c>
      <c r="G23" s="6" t="n">
        <v>231737478.377994</v>
      </c>
      <c r="H23" s="6" t="n">
        <v>3506580838.382854</v>
      </c>
      <c r="I23" s="7" t="n">
        <v>0.03650000241537366</v>
      </c>
      <c r="J23" s="7" t="n">
        <v>0.03960950242261978</v>
      </c>
      <c r="K23" t="n">
        <v>4</v>
      </c>
      <c r="L23" s="7" t="n">
        <v>0.0368</v>
      </c>
      <c r="M23" s="7" t="n">
        <v>0.03726825040376996</v>
      </c>
      <c r="N23" s="3" t="n">
        <v>367030.5064828676</v>
      </c>
      <c r="O23" s="3" t="n">
        <v>453145.2274967065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90391669.8087067</v>
      </c>
      <c r="F24" s="6" t="n">
        <v>57064571.04109526</v>
      </c>
      <c r="G24" s="6" t="n">
        <v>229182741.6867744</v>
      </c>
      <c r="H24" s="6" t="n">
        <v>3463345933.733087</v>
      </c>
      <c r="I24" s="7" t="n">
        <v>0.03650000241537366</v>
      </c>
      <c r="J24" s="7" t="n">
        <v>0.03960950242261978</v>
      </c>
      <c r="K24" t="n">
        <v>4</v>
      </c>
      <c r="L24" s="7" t="n">
        <v>0.0367</v>
      </c>
      <c r="M24" s="7" t="n">
        <v>0.03718491707043663</v>
      </c>
      <c r="N24" s="3" t="n">
        <v>362208.8438903746</v>
      </c>
      <c r="O24" s="3" t="n">
        <v>449667.7936258736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90542938.88715301</v>
      </c>
      <c r="F25" s="6" t="n">
        <v>51706647.45903745</v>
      </c>
      <c r="G25" s="6" t="n">
        <v>230888253.3173563</v>
      </c>
      <c r="H25" s="6" t="n">
        <v>3205501586.59924</v>
      </c>
      <c r="I25" s="7" t="n">
        <v>0.03650000241537366</v>
      </c>
      <c r="J25" s="7" t="n">
        <v>0.03960950242261978</v>
      </c>
      <c r="K25" t="n">
        <v>4</v>
      </c>
      <c r="L25" s="7" t="n">
        <v>0.0365</v>
      </c>
      <c r="M25" s="7" t="n">
        <v>0.03701825040376996</v>
      </c>
      <c r="N25" s="3" t="n">
        <v>334325.9416342076</v>
      </c>
      <c r="O25" s="3" t="n">
        <v>421404.5374512835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90469977.96395934</v>
      </c>
      <c r="F26" s="6" t="n">
        <v>53984623.44056258</v>
      </c>
      <c r="G26" s="6" t="n">
        <v>254742493.5135711</v>
      </c>
      <c r="H26" s="6" t="n">
        <v>3123730836.085693</v>
      </c>
      <c r="I26" s="7" t="n">
        <v>0.03650000241537366</v>
      </c>
      <c r="J26" s="7" t="n">
        <v>0.03960950242261978</v>
      </c>
      <c r="K26" t="n">
        <v>4</v>
      </c>
      <c r="L26" s="7" t="n">
        <v>0.0368</v>
      </c>
      <c r="M26" s="7" t="n">
        <v>0.03726825040376996</v>
      </c>
      <c r="N26" s="3" t="n">
        <v>326283.4856527848</v>
      </c>
      <c r="O26" s="3" t="n">
        <v>416150.3185875867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91027822.88844904</v>
      </c>
      <c r="F27" s="6" t="n">
        <v>61045926.01292147</v>
      </c>
      <c r="G27" s="6" t="n">
        <v>239797730.4064276</v>
      </c>
      <c r="H27" s="6" t="n">
        <v>3633202061.961082</v>
      </c>
      <c r="I27" s="7" t="n">
        <v>0.03650000241537366</v>
      </c>
      <c r="J27" s="7" t="n">
        <v>0.03960950242261978</v>
      </c>
      <c r="K27" t="n">
        <v>4</v>
      </c>
      <c r="L27" s="7" t="n">
        <v>0.0368</v>
      </c>
      <c r="M27" s="7" t="n">
        <v>0.03726825040376996</v>
      </c>
      <c r="N27" s="3" t="n">
        <v>380506.9009029152</v>
      </c>
      <c r="O27" s="3" t="n">
        <v>469598.8035751031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91306691.58331019</v>
      </c>
      <c r="F28" s="6" t="n">
        <v>64114506.36868194</v>
      </c>
      <c r="G28" s="6" t="n">
        <v>240130221.5557107</v>
      </c>
      <c r="H28" s="6" t="n">
        <v>3612669735.36452</v>
      </c>
      <c r="I28" s="7" t="n">
        <v>0.03650000241537366</v>
      </c>
      <c r="J28" s="7" t="n">
        <v>0.03960950242261978</v>
      </c>
      <c r="K28" t="n">
        <v>4</v>
      </c>
      <c r="L28" s="7" t="n">
        <v>0.0368</v>
      </c>
      <c r="M28" s="7" t="n">
        <v>0.03726825040376996</v>
      </c>
      <c r="N28" s="3" t="n">
        <v>378321.6295577402</v>
      </c>
      <c r="O28" s="3" t="n">
        <v>467821.2707917073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91350355.52528024</v>
      </c>
      <c r="F29" s="6" t="n">
        <v>63992052.9462667</v>
      </c>
      <c r="G29" s="6" t="n">
        <v>243572783.8200219</v>
      </c>
      <c r="H29" s="6" t="n">
        <v>3627777313.831564</v>
      </c>
      <c r="I29" s="7" t="n">
        <v>0.03650000241537366</v>
      </c>
      <c r="J29" s="7" t="n">
        <v>0.03960950242261978</v>
      </c>
      <c r="K29" t="n">
        <v>4</v>
      </c>
      <c r="L29" s="7" t="n">
        <v>0.0368</v>
      </c>
      <c r="M29" s="7" t="n">
        <v>0.03726825040376996</v>
      </c>
      <c r="N29" s="3" t="n">
        <v>379929.5407783099</v>
      </c>
      <c r="O29" s="3" t="n">
        <v>469793.7878171585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90447819.29369049</v>
      </c>
      <c r="F30" s="6" t="n">
        <v>65971496.3634856</v>
      </c>
      <c r="G30" s="6" t="n">
        <v>245605231.7022537</v>
      </c>
      <c r="H30" s="6" t="n">
        <v>3622138854.599961</v>
      </c>
      <c r="I30" s="7" t="n">
        <v>0.03650000241537366</v>
      </c>
      <c r="J30" s="7" t="n">
        <v>0.03960950242261978</v>
      </c>
      <c r="K30" t="n">
        <v>4</v>
      </c>
      <c r="L30" s="7" t="n">
        <v>0.0368</v>
      </c>
      <c r="M30" s="7" t="n">
        <v>0.03726825040376996</v>
      </c>
      <c r="N30" s="3" t="n">
        <v>379329.4352163898</v>
      </c>
      <c r="O30" s="3" t="n">
        <v>469534.0791718918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91552934.04846945</v>
      </c>
      <c r="F31" s="6" t="n">
        <v>71518357.0439785</v>
      </c>
      <c r="G31" s="6" t="n">
        <v>179571549.4489093</v>
      </c>
      <c r="H31" s="6" t="n">
        <v>3412989274.727767</v>
      </c>
      <c r="I31" s="7" t="n">
        <v>0.03600000425292382</v>
      </c>
      <c r="J31" s="7" t="n">
        <v>0.03910800426568259</v>
      </c>
      <c r="K31" t="n">
        <v>4</v>
      </c>
      <c r="L31" s="7" t="n">
        <v>0.0368</v>
      </c>
      <c r="M31" s="7" t="n">
        <v>0.03718466737761376</v>
      </c>
      <c r="N31" s="3" t="n">
        <v>353658.5272115202</v>
      </c>
      <c r="O31" s="3" t="n">
        <v>436503.1152736163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92620030.42800373</v>
      </c>
      <c r="F32" s="6" t="n">
        <v>75064444.32358976</v>
      </c>
      <c r="G32" s="6" t="n">
        <v>206116586.0471416</v>
      </c>
      <c r="H32" s="6" t="n">
        <v>3251497945.720366</v>
      </c>
      <c r="I32" s="7" t="n">
        <v>0.03600000425292382</v>
      </c>
      <c r="J32" s="7" t="n">
        <v>0.03910800426568259</v>
      </c>
      <c r="K32" t="n">
        <v>4</v>
      </c>
      <c r="L32" s="7" t="n">
        <v>0.0368</v>
      </c>
      <c r="M32" s="7" t="n">
        <v>0.03718466737761376</v>
      </c>
      <c r="N32" s="3" t="n">
        <v>336684.3846593943</v>
      </c>
      <c r="O32" s="3" t="n">
        <v>422829.5199952555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92236283.99807629</v>
      </c>
      <c r="F33" s="6" t="n">
        <v>75302434.82539035</v>
      </c>
      <c r="G33" s="6" t="n">
        <v>248420857.3449725</v>
      </c>
      <c r="H33" s="6" t="n">
        <v>3220007678.121735</v>
      </c>
      <c r="I33" s="7" t="n">
        <v>0.03600000425292382</v>
      </c>
      <c r="J33" s="7" t="n">
        <v>0.03910800426568259</v>
      </c>
      <c r="K33" t="n">
        <v>4</v>
      </c>
      <c r="L33" s="7" t="n">
        <v>0.0369</v>
      </c>
      <c r="M33" s="7" t="n">
        <v>0.0372680007109471</v>
      </c>
      <c r="N33" s="3" t="n">
        <v>333594.622203879</v>
      </c>
      <c r="O33" s="3" t="n">
        <v>424168.2907023524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90968267.09769209</v>
      </c>
      <c r="F34" s="6" t="n">
        <v>75361032.66147675</v>
      </c>
      <c r="G34" s="6" t="n">
        <v>303291142.7334828</v>
      </c>
      <c r="H34" s="6" t="n">
        <v>3245402773.315153</v>
      </c>
      <c r="I34" s="7" t="n">
        <v>0.03600000425292382</v>
      </c>
      <c r="J34" s="7" t="n">
        <v>0.03910800426568259</v>
      </c>
      <c r="K34" t="n">
        <v>4</v>
      </c>
      <c r="L34" s="7" t="n">
        <v>0.0369</v>
      </c>
      <c r="M34" s="7" t="n">
        <v>0.0372680007109471</v>
      </c>
      <c r="N34" s="3" t="n">
        <v>336263.8674728812</v>
      </c>
      <c r="O34" s="3" t="n">
        <v>432479.428230482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91290713.85405229</v>
      </c>
      <c r="F35" s="6" t="n">
        <v>73070804.63810319</v>
      </c>
      <c r="G35" s="6" t="n">
        <v>295800536.4468129</v>
      </c>
      <c r="H35" s="6" t="n">
        <v>3223039409.148025</v>
      </c>
      <c r="I35" s="7" t="n">
        <v>0.03600000425292382</v>
      </c>
      <c r="J35" s="7" t="n">
        <v>0.03910800426568259</v>
      </c>
      <c r="K35" t="n">
        <v>4</v>
      </c>
      <c r="L35" s="7" t="n">
        <v>0.0369</v>
      </c>
      <c r="M35" s="7" t="n">
        <v>0.0372680007109471</v>
      </c>
      <c r="N35" s="3" t="n">
        <v>333913.2834901304</v>
      </c>
      <c r="O35" s="3" t="n">
        <v>429134.7135535888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91478373.60984924</v>
      </c>
      <c r="F36" s="6" t="n">
        <v>73140128.86641257</v>
      </c>
      <c r="G36" s="6" t="n">
        <v>289518568.352541</v>
      </c>
      <c r="H36" s="6" t="n">
        <v>3216944897.76431</v>
      </c>
      <c r="I36" s="7" t="n">
        <v>0.03600000425292382</v>
      </c>
      <c r="J36" s="7" t="n">
        <v>0.03910800426568259</v>
      </c>
      <c r="K36" t="n">
        <v>4</v>
      </c>
      <c r="L36" s="7" t="n">
        <v>0.0369</v>
      </c>
      <c r="M36" s="7" t="n">
        <v>0.0372680007109471</v>
      </c>
      <c r="N36" s="3" t="n">
        <v>333272.6973630079</v>
      </c>
      <c r="O36" s="3" t="n">
        <v>427865.005924381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10864249.5890699</v>
      </c>
      <c r="O38" s="12" t="n">
        <v>13430615.56877181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2026-07-31T12:31:07Z</dcterms:created>
  <dcterms:modified xsi:type="dcterms:W3CDTF">2026-07-31T12:31:07Z</dcterms:modified>
</cp:coreProperties>
</file>