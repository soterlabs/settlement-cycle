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ose status" sheetId="1" state="visible" r:id="rId1"/>
    <sheet name="Summary" sheetId="2" state="visible" r:id="rId2"/>
    <sheet name="Venues" sheetId="3" state="visible" r:id="rId3"/>
    <sheet name="Sky Revenue" sheetId="4" state="visible" r:id="rId4"/>
    <sheet name="Sky Direct" sheetId="5" state="visible" r:id="rId5"/>
    <sheet name="Deb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;&quot;−$&quot;#,##0.00;&quot;$&quot;0.00"/>
    <numFmt numFmtId="165" formatCode="&quot;$&quot;#,##0;&quot;−$&quot;#,##0;&quot;$&quot;0"/>
    <numFmt numFmtId="166" formatCode="0.000%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DDE6F1"/>
      </patternFill>
    </fill>
  </fills>
  <borders count="2">
    <border>
      <left/>
      <right/>
      <top/>
      <bottom/>
      <diagonal/>
    </border>
    <border>
      <top style="thin">
        <color rgb="00C5C9CC"/>
      </top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2" fillId="0" borderId="1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164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2" customWidth="1" min="1" max="1"/>
    <col width="115" customWidth="1" min="2" max="2"/>
  </cols>
  <sheetData>
    <row r="1">
      <c r="A1" s="11" t="inlineStr">
        <is>
          <t>September 2026 close</t>
        </is>
      </c>
      <c r="B1" s="11" t="inlineStr">
        <is>
          <t>Official reference-rate coverage complete</t>
        </is>
      </c>
    </row>
    <row r="2">
      <c r="A2" s="12" t="inlineStr">
        <is>
          <t>calculation</t>
        </is>
      </c>
      <c r="B2" s="12" t="inlineStr">
        <is>
          <t>Independent full monthly pipeline, compared field-by-field with September 30 API result</t>
        </is>
      </c>
    </row>
    <row r="3">
      <c r="A3" s="12" t="inlineStr">
        <is>
          <t>calculation_code_version</t>
        </is>
      </c>
      <c r="B3" s="12" t="inlineStr">
        <is>
          <t>c32f25a7ef410eaaf9212b8f546f652c715dc7ac</t>
        </is>
      </c>
    </row>
    <row r="4">
      <c r="A4" s="12" t="inlineStr">
        <is>
          <t>daily_revision</t>
        </is>
      </c>
      <c r="B4" s="12" t="inlineStr">
        <is>
          <t>b36393a735936aa2ffdcb47b5152804ad7ec1cd10ae8880b3f90b55c1cd2685f</t>
        </is>
      </c>
    </row>
    <row r="5">
      <c r="A5" s="12" t="inlineStr">
        <is>
          <t>monthly_result_sha256</t>
        </is>
      </c>
      <c r="B5" s="12" t="inlineStr">
        <is>
          <t>cf4699e1842d13b721d2e339d4a58d152e33e7653c6f9efbbad5ea03140ec116</t>
        </is>
      </c>
    </row>
    <row r="6">
      <c r="A6" s="12" t="inlineStr">
        <is>
          <t>daily_result_sha256</t>
        </is>
      </c>
      <c r="B6" s="12" t="inlineStr">
        <is>
          <t>cf4699e1842d13b721d2e339d4a58d152e33e7653c6f9efbbad5ea03140ec116</t>
        </is>
      </c>
    </row>
    <row r="7">
      <c r="A7" s="12" t="inlineStr">
        <is>
          <t>comparison</t>
        </is>
      </c>
      <c r="B7" s="12" t="inlineStr">
        <is>
          <t>all result fields match</t>
        </is>
      </c>
    </row>
    <row r="8">
      <c r="A8" s="12" t="inlineStr">
        <is>
          <t>distribution_rewards_workbook_sha256</t>
        </is>
      </c>
      <c r="B8" s="12" t="inlineStr">
        <is>
          <t>17eee2ca39bd63e68e6d87097ede0007d8741e41cb9a7fceb017da713103b02e</t>
        </is>
      </c>
    </row>
    <row r="9">
      <c r="A9" s="12" t="inlineStr">
        <is>
          <t>distribution_rewards_code</t>
        </is>
      </c>
      <c r="B9" s="12" t="inlineStr">
        <is>
          <t>1e9ecb2 (merged settle-dr-dune PR #27; finalized September snapshot)</t>
        </is>
      </c>
    </row>
    <row r="10">
      <c r="A10" s="12" t="inlineStr">
        <is>
          <t>reference_rate_status</t>
        </is>
      </c>
      <c r="B10" s="12" t="inlineStr">
        <is>
          <t>official coverage complete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</cols>
  <sheetData>
    <row r="1">
      <c r="A1" s="1" t="inlineStr">
        <is>
          <t>OSERO — Monthly settlement 2026-09</t>
        </is>
      </c>
    </row>
    <row r="3">
      <c r="A3" s="2" t="inlineStr">
        <is>
          <t>Prime side</t>
        </is>
      </c>
      <c r="B3" s="2" t="inlineStr">
        <is>
          <t>USD</t>
        </is>
      </c>
    </row>
    <row r="4">
      <c r="A4" t="inlineStr">
        <is>
          <t>prime_agent_revenue (gross venue yield to prime)</t>
        </is>
      </c>
      <c r="B4" s="3" t="n">
        <v>72864.63184908031</v>
      </c>
    </row>
    <row r="5">
      <c r="A5" t="inlineStr">
        <is>
          <t>+ agent_rate (subproxy USDS / sUSDS yield)</t>
        </is>
      </c>
      <c r="B5" s="3" t="n">
        <v>30805.78648455204</v>
      </c>
    </row>
    <row r="6">
      <c r="A6" t="inlineStr">
        <is>
          <t>+ distribution_rewards (settle-dr-dune)</t>
        </is>
      </c>
      <c r="B6" s="3" t="n">
        <v>815.1128390214266</v>
      </c>
    </row>
    <row r="7">
      <c r="B7" s="4" t="n">
        <v>104485.5311726538</v>
      </c>
    </row>
    <row r="9">
      <c r="A9" s="2" t="inlineStr">
        <is>
          <t>Sky side</t>
        </is>
      </c>
      <c r="B9" s="2" t="inlineStr">
        <is>
          <t>USD</t>
        </is>
      </c>
    </row>
    <row r="10">
      <c r="A10" t="inlineStr">
        <is>
          <t>CoF on utilized (BR × Net_Subs)</t>
        </is>
      </c>
      <c r="B10" s="3" t="n">
        <v>76824.23346740459</v>
      </c>
    </row>
    <row r="11">
      <c r="A11" t="inlineStr">
        <is>
          <t>+ SDE revenue (Sky-Direct, full to Sky)</t>
        </is>
      </c>
      <c r="B11" s="3" t="n">
        <v>0</v>
      </c>
    </row>
    <row r="12">
      <c r="B12" s="4" t="n">
        <v>76824.23346740459</v>
      </c>
    </row>
    <row r="14">
      <c r="A14" s="2" t="inlineStr">
        <is>
          <t>Sky Revenue (max) — BR × full ilk debt, no deductions</t>
        </is>
      </c>
      <c r="B14" s="2" t="inlineStr">
        <is>
          <t>USD</t>
        </is>
      </c>
    </row>
    <row r="15">
      <c r="A15" t="inlineStr">
        <is>
          <t>CoF on Net_Subs (actual BR × utilized)</t>
        </is>
      </c>
      <c r="B15" s="3" t="n">
        <v>76824.23346740459</v>
      </c>
    </row>
    <row r="16">
      <c r="A16" t="inlineStr">
        <is>
          <t>reduction from idle/SDE deductions</t>
        </is>
      </c>
      <c r="B16" s="3" t="n">
        <v>-37713.60399450119</v>
      </c>
    </row>
    <row r="17">
      <c r="B17" s="4" t="n">
        <v>114537.8374619058</v>
      </c>
    </row>
    <row r="19">
      <c r="A19" s="2" t="inlineStr">
        <is>
          <t>Comparison (Grove-style "Profit to Grove")</t>
        </is>
      </c>
      <c r="B19" s="2" t="inlineStr">
        <is>
          <t>USD</t>
        </is>
      </c>
    </row>
    <row r="20">
      <c r="A20" t="inlineStr">
        <is>
          <t>prime_agent_revenue</t>
        </is>
      </c>
      <c r="B20" s="3" t="n">
        <v>72864.63184908031</v>
      </c>
    </row>
    <row r="21">
      <c r="A21" t="inlineStr">
        <is>
          <t>− CoF (deducted per-venue in display)</t>
        </is>
      </c>
      <c r="B21" s="3" t="n">
        <v>-76824.23346740459</v>
      </c>
    </row>
    <row r="22">
      <c r="B22" s="4" t="n">
        <v>-3959.601618324275</v>
      </c>
    </row>
    <row r="24">
      <c r="A24" t="inlineStr">
        <is>
          <t>Period</t>
        </is>
      </c>
      <c r="B24" t="inlineStr">
        <is>
          <t>2026-09-01 → 2026-09-30 (30 days)</t>
        </is>
      </c>
    </row>
    <row r="25">
      <c r="A25" t="inlineStr">
        <is>
          <t>Pin blocks</t>
        </is>
      </c>
      <c r="B25" t="inlineStr">
        <is>
          <t>ethereum=26093737</t>
        </is>
      </c>
    </row>
    <row r="26">
      <c r="A26" t="inlineStr">
        <is>
          <t>Generated</t>
        </is>
      </c>
      <c r="B26" t="inlineStr">
        <is>
          <t>2026-10-01T10:53:27+00:00</t>
        </is>
      </c>
    </row>
    <row r="27">
      <c r="A27" t="inlineStr">
        <is>
          <t>Pipeline</t>
        </is>
      </c>
      <c r="B27" t="inlineStr">
        <is>
          <t>0.1.0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50" customWidth="1" min="2" max="2"/>
    <col width="11" customWidth="1" min="3" max="3"/>
    <col width="13" customWidth="1" min="4" max="4"/>
    <col width="16" customWidth="1" min="5" max="5"/>
    <col width="16" customWidth="1" min="6" max="6"/>
    <col width="16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9" customWidth="1" min="13" max="13"/>
    <col width="14" customWidth="1" min="14" max="14"/>
    <col width="16" customWidth="1" min="15" max="15"/>
    <col width="16" customWidth="1" min="16" max="16"/>
    <col width="22" customWidth="1" min="17" max="17"/>
    <col width="14" customWidth="1" min="18" max="18"/>
    <col width="30" customWidth="1" min="19" max="19"/>
  </cols>
  <sheetData>
    <row r="1">
      <c r="A1" s="2" t="inlineStr">
        <is>
          <t>Venue</t>
        </is>
      </c>
      <c r="B1" s="2" t="inlineStr">
        <is>
          <t>Label</t>
        </is>
      </c>
      <c r="C1" s="2" t="inlineStr">
        <is>
          <t>Chain</t>
        </is>
      </c>
      <c r="D1" s="2" t="inlineStr">
        <is>
          <t>Pricing cat.</t>
        </is>
      </c>
      <c r="E1" s="2" t="inlineStr">
        <is>
          <t>Position SoM</t>
        </is>
      </c>
      <c r="F1" s="2" t="inlineStr">
        <is>
          <t>Position EoM</t>
        </is>
      </c>
      <c r="G1" s="2" t="inlineStr">
        <is>
          <t>Period inflow</t>
        </is>
      </c>
      <c r="H1" s="2" t="inlineStr">
        <is>
          <t>actual_revenue</t>
        </is>
      </c>
      <c r="I1" s="2" t="inlineStr">
        <is>
          <t>external_revenue</t>
        </is>
      </c>
      <c r="J1" s="2" t="inlineStr">
        <is>
          <t>revenue (to prime)</t>
        </is>
      </c>
      <c r="K1" s="2" t="inlineStr">
        <is>
          <t>sd_revenue (to Sky)</t>
        </is>
      </c>
      <c r="L1" s="2" t="inlineStr">
        <is>
          <t>Avg value</t>
        </is>
      </c>
      <c r="M1" s="2" t="inlineStr">
        <is>
          <t>Weight</t>
        </is>
      </c>
      <c r="N1" s="2" t="inlineStr">
        <is>
          <t>CoF alloc</t>
        </is>
      </c>
      <c r="O1" s="2" t="inlineStr">
        <is>
          <t>Profit to Sky</t>
        </is>
      </c>
      <c r="P1" s="2" t="inlineStr">
        <is>
          <t>Profit to Grove</t>
        </is>
      </c>
      <c r="Q1" s="2" t="inlineStr">
        <is>
          <t>Utilized Deduction (avg)</t>
        </is>
      </c>
      <c r="R1" s="2" t="inlineStr">
        <is>
          <t>Spread Reimb</t>
        </is>
      </c>
      <c r="S1" s="2" t="inlineStr">
        <is>
          <t>Notes</t>
        </is>
      </c>
    </row>
    <row r="2">
      <c r="A2" t="inlineStr">
        <is>
          <t>O1</t>
        </is>
      </c>
      <c r="B2" t="inlineStr">
        <is>
          <t>Spark USDS (SparkLend spToken)</t>
        </is>
      </c>
      <c r="C2" t="inlineStr">
        <is>
          <t>ethereum</t>
        </is>
      </c>
      <c r="D2" t="inlineStr">
        <is>
          <t>C</t>
        </is>
      </c>
      <c r="E2" s="5" t="n">
        <v>14007218.76715924</v>
      </c>
      <c r="F2" s="5" t="n">
        <v>50078586.39900832</v>
      </c>
      <c r="G2" s="5" t="n">
        <v>36071367.63184908</v>
      </c>
      <c r="H2" s="5" t="n">
        <v>72864.63184908031</v>
      </c>
      <c r="I2" s="5" t="n">
        <v>0</v>
      </c>
      <c r="J2" s="5" t="n">
        <v>72864.63184908031</v>
      </c>
      <c r="K2" s="5" t="n">
        <v>0</v>
      </c>
      <c r="L2" s="5" t="n">
        <v>24999856.92083038</v>
      </c>
      <c r="M2" s="6" t="n">
        <v>1</v>
      </c>
      <c r="N2" s="5" t="n">
        <v>76824.23346740459</v>
      </c>
      <c r="O2" s="5" t="n">
        <v>76824.23346740459</v>
      </c>
      <c r="P2" s="5" t="n">
        <v>-3959.601618324275</v>
      </c>
      <c r="Q2" s="5" t="n">
        <v>12272631.31299552</v>
      </c>
      <c r="R2" s="5" t="n">
        <v>0</v>
      </c>
      <c r="S2" t="inlineStr">
        <is>
          <t>(avg excl. lending_idle)</t>
        </is>
      </c>
    </row>
    <row r="3">
      <c r="A3" t="inlineStr">
        <is>
          <t>O2</t>
        </is>
      </c>
      <c r="B3" t="inlineStr">
        <is>
          <t>USDS raw (Diamond PAU ALM idle)</t>
        </is>
      </c>
      <c r="C3" t="inlineStr">
        <is>
          <t>ethereum</t>
        </is>
      </c>
      <c r="D3" t="inlineStr">
        <is>
          <t>A</t>
        </is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6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80" customWidth="1" min="1" max="1"/>
    <col width="22" customWidth="1" min="2" max="2"/>
  </cols>
  <sheetData>
    <row r="1">
      <c r="A1" s="1" t="inlineStr">
        <is>
          <t>How Sky's monthly take is built</t>
        </is>
      </c>
    </row>
    <row r="3">
      <c r="A3" s="2" t="inlineStr">
        <is>
          <t>Component</t>
        </is>
      </c>
      <c r="B3" s="2" t="inlineStr">
        <is>
          <t>USD</t>
        </is>
      </c>
    </row>
    <row r="4">
      <c r="A4" t="inlineStr">
        <is>
          <t>CoF on utilized debt (= Σ_d max(utilized_d,0) × (1+BR_d)^(1/365)−1)</t>
        </is>
      </c>
      <c r="B4" s="3" t="n">
        <v>76824.23346740459</v>
      </c>
    </row>
    <row r="5">
      <c r="A5" t="inlineStr">
        <is>
          <t>+ Sky-Direct revenue (full venue yield on fixed/capped SDE)</t>
        </is>
      </c>
      <c r="B5" s="3" t="n">
        <v>0</v>
      </c>
    </row>
    <row r="6">
      <c r="A6" t="inlineStr">
        <is>
          <t>equals sky_revenue (total Sky take this month)</t>
        </is>
      </c>
      <c r="B6" s="3" t="n">
        <v>76824.23346740459</v>
      </c>
    </row>
    <row r="8">
      <c r="A8" s="7" t="inlineStr">
        <is>
          <t>Utilized base = cum_debt − idle USDS − PSM USDS − Σ SDE asset value − Curve idle − lending idle</t>
        </is>
      </c>
    </row>
    <row r="10">
      <c r="A10" s="8" t="inlineStr">
        <is>
          <t>Sky Revenue (max) — BR × full ilk debt (no deductions)</t>
        </is>
      </c>
      <c r="B10" s="3" t="n">
        <v>114537.8374619058</v>
      </c>
    </row>
    <row r="11">
      <c r="A11" t="inlineStr">
        <is>
          <t xml:space="preserve">    ↳ actual CoF on Net_Subs (BR × utilized)</t>
        </is>
      </c>
      <c r="B11" s="3" t="n">
        <v>76824.23346740459</v>
      </c>
    </row>
    <row r="12">
      <c r="A12" t="inlineStr">
        <is>
          <t xml:space="preserve">    ↳ reduction from idle/SDE deductions</t>
        </is>
      </c>
      <c r="B12" s="3" t="n">
        <v>-37713.60399450119</v>
      </c>
    </row>
    <row r="13" ht="60" customHeight="1">
      <c r="A13" s="9" t="inlineStr">
        <is>
          <t>Note: sky_revenue can EXCEED sky_revenue_gross for primes with active SDE positions — sky_revenue also adds sde_revenue on top of BR-on-utilized. The subsidised BR (ref_rate ramp) is already applied here; this is NOT the raw Maker base rate.</t>
        </is>
      </c>
    </row>
    <row r="16">
      <c r="A16" s="7" t="inlineStr">
        <is>
          <t>Base rate composition: base_apr = apy_to_apr(SSR, n=12) + spread (nominal; spread 30bps, 20bps from 2026-07-23). Daily charge = utilized_d x base_apr / 365 — no intra-month compounding.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2" customWidth="1" min="4" max="4"/>
    <col width="12" customWidth="1" min="5" max="5"/>
    <col width="8" customWidth="1" min="6" max="6"/>
    <col width="50" customWidth="1" min="7" max="7"/>
    <col width="25" customWidth="1" min="8" max="8"/>
    <col width="16" customWidth="1" min="9" max="9"/>
    <col width="18" customWidth="1" min="10" max="10"/>
  </cols>
  <sheetData>
    <row r="1">
      <c r="A1" s="1" t="inlineStr">
        <is>
          <t>Sky-Direct Exposures applied this period</t>
        </is>
      </c>
    </row>
    <row r="3">
      <c r="A3" s="2" t="inlineStr">
        <is>
          <t>Venue</t>
        </is>
      </c>
      <c r="B3" s="2" t="inlineStr">
        <is>
          <t>Kind</t>
        </is>
      </c>
      <c r="C3" s="2" t="inlineStr">
        <is>
          <t>Cap (USD)</t>
        </is>
      </c>
      <c r="D3" s="2" t="inlineStr">
        <is>
          <t>Start</t>
        </is>
      </c>
      <c r="E3" s="2" t="inlineStr">
        <is>
          <t>End</t>
        </is>
      </c>
      <c r="F3" s="2" t="inlineStr">
        <is>
          <t>Active?</t>
        </is>
      </c>
      <c r="G3" s="2" t="inlineStr">
        <is>
          <t>Source</t>
        </is>
      </c>
      <c r="H3" s="2" t="inlineStr">
        <is>
          <t>Label</t>
        </is>
      </c>
      <c r="I3" s="2" t="inlineStr">
        <is>
          <t>actual_revenue</t>
        </is>
      </c>
      <c r="J3" s="2" t="inlineStr">
        <is>
          <t>sd_revenue (to Sky)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0" customWidth="1" min="9" max="9"/>
    <col width="10" customWidth="1" min="10" max="10"/>
    <col width="18" customWidth="1" min="11" max="11"/>
    <col width="22" customWidth="1" min="12" max="12"/>
  </cols>
  <sheetData>
    <row r="1">
      <c r="A1" s="1" t="inlineStr">
        <is>
          <t>Daily ilk debt + Sky charge breakdown</t>
        </is>
      </c>
    </row>
    <row r="3" ht="45" customHeight="1">
      <c r="A3" s="9" t="inlineStr">
        <is>
          <t>cum_debt = Σ on-chain Vat dart from frob (0x76088703) + grab (0x7bab3f40), then scaled by Vat.ilks[ilk].rate_d / 1e27 read at each day's EoD block — actual outstanding USDS per day, not raw normalised Art. utilized = cum_debt − Σ deductions. base_apr = apy_to_apr(SSR, n=12) + spread (nominal; spread 30bps, 20bps from 2026-07-23). sub_apr applies on the first cap_usd of utilized when the subsidy is active; excess pays base_apr.</t>
        </is>
      </c>
    </row>
    <row r="5">
      <c r="A5" s="2" t="inlineStr">
        <is>
          <t>Date</t>
        </is>
      </c>
      <c r="B5" s="2" t="inlineStr">
        <is>
          <t>cum_debt</t>
        </is>
      </c>
      <c r="C5" s="2" t="inlineStr">
        <is>
          <t>− ALM idle</t>
        </is>
      </c>
      <c r="D5" s="2" t="inlineStr">
        <is>
          <t>− PSM USDS</t>
        </is>
      </c>
      <c r="E5" s="2" t="inlineStr">
        <is>
          <t>− SDE NAV</t>
        </is>
      </c>
      <c r="F5" s="2" t="inlineStr">
        <is>
          <t>− Curve idle</t>
        </is>
      </c>
      <c r="G5" s="2" t="inlineStr">
        <is>
          <t>− Lending idle</t>
        </is>
      </c>
      <c r="H5" s="2">
        <f> utilized</f>
        <v/>
      </c>
      <c r="I5" s="2" t="inlineStr">
        <is>
          <t>SSR APY</t>
        </is>
      </c>
      <c r="J5" s="2" t="inlineStr">
        <is>
          <t>base APR</t>
        </is>
      </c>
      <c r="K5" s="2" t="inlineStr">
        <is>
          <t>daily Sky charge</t>
        </is>
      </c>
      <c r="L5" s="2" t="inlineStr">
        <is>
          <t>daily Sky charge (gross on cum_debt)</t>
        </is>
      </c>
    </row>
    <row r="6">
      <c r="A6" t="inlineStr">
        <is>
          <t>2026-09-01</t>
        </is>
      </c>
      <c r="B6" s="5" t="n">
        <v>19001497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6581071.715724822</v>
      </c>
      <c r="H6" s="5" t="n">
        <v>12420425.28427518</v>
      </c>
      <c r="I6" s="6" t="n">
        <v>0.03519999850777533</v>
      </c>
      <c r="J6" s="6" t="n">
        <v>0.03664455749990904</v>
      </c>
      <c r="K6" s="3" t="n">
        <v>1246.961612336838</v>
      </c>
      <c r="L6" s="3" t="n">
        <v>1907.675203837942</v>
      </c>
    </row>
    <row r="7">
      <c r="A7" t="inlineStr">
        <is>
          <t>2026-09-02</t>
        </is>
      </c>
      <c r="B7" s="5" t="n">
        <v>24001497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8312709.539501322</v>
      </c>
      <c r="H7" s="5" t="n">
        <v>15688787.46049868</v>
      </c>
      <c r="I7" s="6" t="n">
        <v>0.03519999850777533</v>
      </c>
      <c r="J7" s="6" t="n">
        <v>0.03664455749990904</v>
      </c>
      <c r="K7" s="3" t="n">
        <v>1575.092258082454</v>
      </c>
      <c r="L7" s="3" t="n">
        <v>2409.655443562724</v>
      </c>
    </row>
    <row r="8">
      <c r="A8" t="inlineStr">
        <is>
          <t>2026-09-03</t>
        </is>
      </c>
      <c r="B8" s="5" t="n">
        <v>25000000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8599919.966420054</v>
      </c>
      <c r="H8" s="5" t="n">
        <v>16400080.03357995</v>
      </c>
      <c r="I8" s="6" t="n">
        <v>0.03600000425292382</v>
      </c>
      <c r="J8" s="6" t="n">
        <v>0.03741931731351311</v>
      </c>
      <c r="K8" s="3" t="n">
        <v>1681.314517105586</v>
      </c>
      <c r="L8" s="3" t="n">
        <v>2562.96693928172</v>
      </c>
    </row>
    <row r="9">
      <c r="A9" t="inlineStr">
        <is>
          <t>2026-09-04</t>
        </is>
      </c>
      <c r="B9" s="5" t="n">
        <v>25000000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8600472.545537764</v>
      </c>
      <c r="H9" s="5" t="n">
        <v>16399527.45446224</v>
      </c>
      <c r="I9" s="6" t="n">
        <v>0.03600000425292382</v>
      </c>
      <c r="J9" s="6" t="n">
        <v>0.03741931731351311</v>
      </c>
      <c r="K9" s="3" t="n">
        <v>1681.257867425184</v>
      </c>
      <c r="L9" s="3" t="n">
        <v>2562.96693928172</v>
      </c>
    </row>
    <row r="10">
      <c r="A10" t="inlineStr">
        <is>
          <t>2026-09-05</t>
        </is>
      </c>
      <c r="B10" s="5" t="n">
        <v>25000000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8600936.360053454</v>
      </c>
      <c r="H10" s="5" t="n">
        <v>16399063.63994655</v>
      </c>
      <c r="I10" s="6" t="n">
        <v>0.03600000425292382</v>
      </c>
      <c r="J10" s="6" t="n">
        <v>0.03741931731351311</v>
      </c>
      <c r="K10" s="3" t="n">
        <v>1681.210317774398</v>
      </c>
      <c r="L10" s="3" t="n">
        <v>2562.96693928172</v>
      </c>
    </row>
    <row r="11">
      <c r="A11" t="inlineStr">
        <is>
          <t>2026-09-06</t>
        </is>
      </c>
      <c r="B11" s="5" t="n">
        <v>25000000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8601515.858848555</v>
      </c>
      <c r="H11" s="5" t="n">
        <v>16398484.14115144</v>
      </c>
      <c r="I11" s="6" t="n">
        <v>0.03600000425292382</v>
      </c>
      <c r="J11" s="6" t="n">
        <v>0.03741931731351311</v>
      </c>
      <c r="K11" s="3" t="n">
        <v>1681.15090832427</v>
      </c>
      <c r="L11" s="3" t="n">
        <v>2562.96693928172</v>
      </c>
    </row>
    <row r="12">
      <c r="A12" t="inlineStr">
        <is>
          <t>2026-09-07</t>
        </is>
      </c>
      <c r="B12" s="5" t="n">
        <v>25000000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8602017.202437142</v>
      </c>
      <c r="H12" s="5" t="n">
        <v>16397982.79756286</v>
      </c>
      <c r="I12" s="6" t="n">
        <v>0.03600000425292382</v>
      </c>
      <c r="J12" s="6" t="n">
        <v>0.03741931731351311</v>
      </c>
      <c r="K12" s="3" t="n">
        <v>1681.099511242559</v>
      </c>
      <c r="L12" s="3" t="n">
        <v>2562.96693928172</v>
      </c>
    </row>
    <row r="13">
      <c r="A13" t="inlineStr">
        <is>
          <t>2026-09-08</t>
        </is>
      </c>
      <c r="B13" s="5" t="n">
        <v>25000000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8602647.86091591</v>
      </c>
      <c r="H13" s="5" t="n">
        <v>16397352.13908409</v>
      </c>
      <c r="I13" s="6" t="n">
        <v>0.03600000425292382</v>
      </c>
      <c r="J13" s="6" t="n">
        <v>0.03741931731351311</v>
      </c>
      <c r="K13" s="3" t="n">
        <v>1681.034856969316</v>
      </c>
      <c r="L13" s="3" t="n">
        <v>2562.96693928172</v>
      </c>
    </row>
    <row r="14">
      <c r="A14" t="inlineStr">
        <is>
          <t>2026-09-09</t>
        </is>
      </c>
      <c r="B14" s="5" t="n">
        <v>25000000</v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8603199.24594528</v>
      </c>
      <c r="H14" s="5" t="n">
        <v>16396800.75405472</v>
      </c>
      <c r="I14" s="6" t="n">
        <v>0.03600000425292382</v>
      </c>
      <c r="J14" s="6" t="n">
        <v>0.03741931731351311</v>
      </c>
      <c r="K14" s="3" t="n">
        <v>1680.978329705273</v>
      </c>
      <c r="L14" s="3" t="n">
        <v>2562.96693928172</v>
      </c>
    </row>
    <row r="15">
      <c r="A15" t="inlineStr">
        <is>
          <t>2026-09-10</t>
        </is>
      </c>
      <c r="B15" s="5" t="n">
        <v>25000000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8603741.224003548</v>
      </c>
      <c r="H15" s="5" t="n">
        <v>16396258.77599645</v>
      </c>
      <c r="I15" s="6" t="n">
        <v>0.03600000425292382</v>
      </c>
      <c r="J15" s="6" t="n">
        <v>0.03741931731351311</v>
      </c>
      <c r="K15" s="3" t="n">
        <v>1680.922766831467</v>
      </c>
      <c r="L15" s="3" t="n">
        <v>2562.96693928172</v>
      </c>
    </row>
    <row r="16">
      <c r="A16" t="inlineStr">
        <is>
          <t>2026-09-11</t>
        </is>
      </c>
      <c r="B16" s="5" t="n">
        <v>25000000</v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8604260.938915715</v>
      </c>
      <c r="H16" s="5" t="n">
        <v>16395739.06108429</v>
      </c>
      <c r="I16" s="6" t="n">
        <v>0.03600000425292382</v>
      </c>
      <c r="J16" s="6" t="n">
        <v>0.03741931731351311</v>
      </c>
      <c r="K16" s="3" t="n">
        <v>1680.869486345957</v>
      </c>
      <c r="L16" s="3" t="n">
        <v>2562.96693928172</v>
      </c>
    </row>
    <row r="17">
      <c r="A17" t="inlineStr">
        <is>
          <t>2026-09-12</t>
        </is>
      </c>
      <c r="B17" s="5" t="n">
        <v>25000000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8604795.558474096</v>
      </c>
      <c r="H17" s="5" t="n">
        <v>16395204.4415259</v>
      </c>
      <c r="I17" s="6" t="n">
        <v>0.03600000425292382</v>
      </c>
      <c r="J17" s="6" t="n">
        <v>0.03741931731351311</v>
      </c>
      <c r="K17" s="3" t="n">
        <v>1680.814677855828</v>
      </c>
      <c r="L17" s="3" t="n">
        <v>2562.96693928172</v>
      </c>
    </row>
    <row r="18">
      <c r="A18" t="inlineStr">
        <is>
          <t>2026-09-13</t>
        </is>
      </c>
      <c r="B18" s="5" t="n">
        <v>25007006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8605385.520621464</v>
      </c>
      <c r="H18" s="5" t="n">
        <v>16401620.47937854</v>
      </c>
      <c r="I18" s="6" t="n">
        <v>0.03600000425292382</v>
      </c>
      <c r="J18" s="6" t="n">
        <v>0.03741931731351311</v>
      </c>
      <c r="K18" s="3" t="n">
        <v>1681.472441571727</v>
      </c>
      <c r="L18" s="3" t="n">
        <v>2563.685185136784</v>
      </c>
    </row>
    <row r="19">
      <c r="A19" t="inlineStr">
        <is>
          <t>2026-09-14</t>
        </is>
      </c>
      <c r="B19" s="5" t="n">
        <v>30007006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10325103.99533085</v>
      </c>
      <c r="H19" s="5" t="n">
        <v>19681902.00466915</v>
      </c>
      <c r="I19" s="6" t="n">
        <v>0.03600000425292382</v>
      </c>
      <c r="J19" s="6" t="n">
        <v>0.03741931731351311</v>
      </c>
      <c r="K19" s="3" t="n">
        <v>2017.762565605986</v>
      </c>
      <c r="L19" s="3" t="n">
        <v>3076.278572993128</v>
      </c>
    </row>
    <row r="20">
      <c r="A20" t="inlineStr">
        <is>
          <t>2026-09-15</t>
        </is>
      </c>
      <c r="B20" s="5" t="n">
        <v>35007006</v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12045399.09108196</v>
      </c>
      <c r="H20" s="5" t="n">
        <v>22961606.90891803</v>
      </c>
      <c r="I20" s="6" t="n">
        <v>0.03600000425292382</v>
      </c>
      <c r="J20" s="6" t="n">
        <v>0.03741931731351311</v>
      </c>
      <c r="K20" s="3" t="n">
        <v>2353.993575213586</v>
      </c>
      <c r="L20" s="3" t="n">
        <v>3588.871960849473</v>
      </c>
    </row>
    <row r="21">
      <c r="A21" t="inlineStr">
        <is>
          <t>2026-09-16</t>
        </is>
      </c>
      <c r="B21" s="5" t="n">
        <v>40007006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13765586.68918811</v>
      </c>
      <c r="H21" s="5" t="n">
        <v>26241419.31081189</v>
      </c>
      <c r="I21" s="6" t="n">
        <v>0.03600000425292382</v>
      </c>
      <c r="J21" s="6" t="n">
        <v>0.03741931731351311</v>
      </c>
      <c r="K21" s="3" t="n">
        <v>2690.235605337591</v>
      </c>
      <c r="L21" s="3" t="n">
        <v>4101.465348705817</v>
      </c>
    </row>
    <row r="22">
      <c r="A22" t="inlineStr">
        <is>
          <t>2026-09-17</t>
        </is>
      </c>
      <c r="B22" s="5" t="n">
        <v>45007006</v>
      </c>
      <c r="C22" s="5" t="n">
        <v>0</v>
      </c>
      <c r="D22" s="5" t="n">
        <v>0</v>
      </c>
      <c r="E22" s="5" t="n">
        <v>0</v>
      </c>
      <c r="F22" s="5" t="n">
        <v>0</v>
      </c>
      <c r="G22" s="5" t="n">
        <v>15485862.87360503</v>
      </c>
      <c r="H22" s="5" t="n">
        <v>29521143.12639497</v>
      </c>
      <c r="I22" s="6" t="n">
        <v>0.03600000425292382</v>
      </c>
      <c r="J22" s="6" t="n">
        <v>0.03741931731351311</v>
      </c>
      <c r="K22" s="3" t="n">
        <v>3026.468553710165</v>
      </c>
      <c r="L22" s="3" t="n">
        <v>4614.05873656216</v>
      </c>
    </row>
    <row r="23">
      <c r="A23" t="inlineStr">
        <is>
          <t>2026-09-18</t>
        </is>
      </c>
      <c r="B23" s="5" t="n">
        <v>50007006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17206224.54351503</v>
      </c>
      <c r="H23" s="5" t="n">
        <v>32800781.45648497</v>
      </c>
      <c r="I23" s="6" t="n">
        <v>0.03600000425292382</v>
      </c>
      <c r="J23" s="6" t="n">
        <v>0.03741931731351311</v>
      </c>
      <c r="K23" s="3" t="n">
        <v>3362.692738223035</v>
      </c>
      <c r="L23" s="3" t="n">
        <v>5126.652124418504</v>
      </c>
    </row>
    <row r="24">
      <c r="A24" t="inlineStr">
        <is>
          <t>2026-09-19</t>
        </is>
      </c>
      <c r="B24" s="5" t="n">
        <v>50007006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17207314.62071238</v>
      </c>
      <c r="H24" s="5" t="n">
        <v>32799691.37928762</v>
      </c>
      <c r="I24" s="6" t="n">
        <v>0.03600000425292382</v>
      </c>
      <c r="J24" s="6" t="n">
        <v>0.03741931731351311</v>
      </c>
      <c r="K24" s="3" t="n">
        <v>3362.580984950312</v>
      </c>
      <c r="L24" s="3" t="n">
        <v>5126.652124418504</v>
      </c>
    </row>
    <row r="25">
      <c r="A25" t="inlineStr">
        <is>
          <t>2026-09-20</t>
        </is>
      </c>
      <c r="B25" s="5" t="n">
        <v>50007006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17208415.82986055</v>
      </c>
      <c r="H25" s="5" t="n">
        <v>32798590.17013945</v>
      </c>
      <c r="I25" s="6" t="n">
        <v>0.03600000425292382</v>
      </c>
      <c r="J25" s="6" t="n">
        <v>0.03741931731351311</v>
      </c>
      <c r="K25" s="3" t="n">
        <v>3362.468090444713</v>
      </c>
      <c r="L25" s="3" t="n">
        <v>5126.652124418504</v>
      </c>
    </row>
    <row r="26">
      <c r="A26" t="inlineStr">
        <is>
          <t>2026-09-21</t>
        </is>
      </c>
      <c r="B26" s="5" t="n">
        <v>50007006</v>
      </c>
      <c r="C26" s="5" t="n">
        <v>0</v>
      </c>
      <c r="D26" s="5" t="n">
        <v>0</v>
      </c>
      <c r="E26" s="5" t="n">
        <v>0</v>
      </c>
      <c r="F26" s="5" t="n">
        <v>0</v>
      </c>
      <c r="G26" s="5" t="n">
        <v>15534752.67318728</v>
      </c>
      <c r="H26" s="5" t="n">
        <v>34472253.32681271</v>
      </c>
      <c r="I26" s="6" t="n">
        <v>0.03600000425292382</v>
      </c>
      <c r="J26" s="6" t="n">
        <v>0.03741931731351311</v>
      </c>
      <c r="K26" s="3" t="n">
        <v>3534.049823966611</v>
      </c>
      <c r="L26" s="3" t="n">
        <v>5126.652124418504</v>
      </c>
    </row>
    <row r="27">
      <c r="A27" t="inlineStr">
        <is>
          <t>2026-09-22</t>
        </is>
      </c>
      <c r="B27" s="5" t="n">
        <v>50007006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15537650.21094383</v>
      </c>
      <c r="H27" s="5" t="n">
        <v>34469355.78905617</v>
      </c>
      <c r="I27" s="6" t="n">
        <v>0.03600000425292382</v>
      </c>
      <c r="J27" s="6" t="n">
        <v>0.03741931731351311</v>
      </c>
      <c r="K27" s="3" t="n">
        <v>3533.752772227597</v>
      </c>
      <c r="L27" s="3" t="n">
        <v>5126.652124418504</v>
      </c>
    </row>
    <row r="28">
      <c r="A28" t="inlineStr">
        <is>
          <t>2026-09-23</t>
        </is>
      </c>
      <c r="B28" s="5" t="n">
        <v>50007006</v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15538731.8490082</v>
      </c>
      <c r="H28" s="5" t="n">
        <v>34468274.1509918</v>
      </c>
      <c r="I28" s="6" t="n">
        <v>0.03600000425292382</v>
      </c>
      <c r="J28" s="6" t="n">
        <v>0.03741931731351311</v>
      </c>
      <c r="K28" s="3" t="n">
        <v>3533.641884123627</v>
      </c>
      <c r="L28" s="3" t="n">
        <v>5126.652124418504</v>
      </c>
    </row>
    <row r="29">
      <c r="A29" t="inlineStr">
        <is>
          <t>2026-09-24</t>
        </is>
      </c>
      <c r="B29" s="5" t="n">
        <v>50007006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15539797.11391496</v>
      </c>
      <c r="H29" s="5" t="n">
        <v>34467208.88608503</v>
      </c>
      <c r="I29" s="6" t="n">
        <v>0.03600000425292382</v>
      </c>
      <c r="J29" s="6" t="n">
        <v>0.03741931731351311</v>
      </c>
      <c r="K29" s="3" t="n">
        <v>3533.532674574123</v>
      </c>
      <c r="L29" s="3" t="n">
        <v>5126.652124418504</v>
      </c>
    </row>
    <row r="30">
      <c r="A30" t="inlineStr">
        <is>
          <t>2026-09-25</t>
        </is>
      </c>
      <c r="B30" s="5" t="n">
        <v>50007006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15540776.88860616</v>
      </c>
      <c r="H30" s="5" t="n">
        <v>34466229.11139384</v>
      </c>
      <c r="I30" s="6" t="n">
        <v>0.03600000425292382</v>
      </c>
      <c r="J30" s="6" t="n">
        <v>0.03741931731351311</v>
      </c>
      <c r="K30" s="3" t="n">
        <v>3533.432229368464</v>
      </c>
      <c r="L30" s="3" t="n">
        <v>5126.652124418504</v>
      </c>
    </row>
    <row r="31">
      <c r="A31" t="inlineStr">
        <is>
          <t>2026-09-26</t>
        </is>
      </c>
      <c r="B31" s="5" t="n">
        <v>50007006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15541972.02694336</v>
      </c>
      <c r="H31" s="5" t="n">
        <v>34465033.97305664</v>
      </c>
      <c r="I31" s="6" t="n">
        <v>0.03600000425292382</v>
      </c>
      <c r="J31" s="6" t="n">
        <v>0.03741931731351311</v>
      </c>
      <c r="K31" s="3" t="n">
        <v>3533.309705366619</v>
      </c>
      <c r="L31" s="3" t="n">
        <v>5126.652124418504</v>
      </c>
    </row>
    <row r="32">
      <c r="A32" t="inlineStr">
        <is>
          <t>2026-09-27</t>
        </is>
      </c>
      <c r="B32" s="5" t="n">
        <v>50007006</v>
      </c>
      <c r="C32" s="5" t="n">
        <v>0</v>
      </c>
      <c r="D32" s="5" t="n">
        <v>0</v>
      </c>
      <c r="E32" s="5" t="n">
        <v>0</v>
      </c>
      <c r="F32" s="5" t="n">
        <v>0</v>
      </c>
      <c r="G32" s="5" t="n">
        <v>15543031.42028094</v>
      </c>
      <c r="H32" s="5" t="n">
        <v>34463974.57971905</v>
      </c>
      <c r="I32" s="6" t="n">
        <v>0.03600000425292382</v>
      </c>
      <c r="J32" s="6" t="n">
        <v>0.03741931731351311</v>
      </c>
      <c r="K32" s="3" t="n">
        <v>3533.201097762622</v>
      </c>
      <c r="L32" s="3" t="n">
        <v>5126.652124418504</v>
      </c>
    </row>
    <row r="33">
      <c r="A33" t="inlineStr">
        <is>
          <t>2026-09-28</t>
        </is>
      </c>
      <c r="B33" s="5" t="n">
        <v>50007006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15544038.58135955</v>
      </c>
      <c r="H33" s="5" t="n">
        <v>34462967.41864045</v>
      </c>
      <c r="I33" s="6" t="n">
        <v>0.03600000425292382</v>
      </c>
      <c r="J33" s="6" t="n">
        <v>0.03741931731351311</v>
      </c>
      <c r="K33" s="3" t="n">
        <v>3533.097844940742</v>
      </c>
      <c r="L33" s="3" t="n">
        <v>5126.652124418504</v>
      </c>
    </row>
    <row r="34">
      <c r="A34" t="inlineStr">
        <is>
          <t>2026-09-29</t>
        </is>
      </c>
      <c r="B34" s="5" t="n">
        <v>50007006</v>
      </c>
      <c r="C34" s="5" t="n">
        <v>0</v>
      </c>
      <c r="D34" s="5" t="n">
        <v>0</v>
      </c>
      <c r="E34" s="5" t="n">
        <v>0</v>
      </c>
      <c r="F34" s="5" t="n">
        <v>0</v>
      </c>
      <c r="G34" s="5" t="n">
        <v>15545249.17925657</v>
      </c>
      <c r="H34" s="5" t="n">
        <v>34461756.82074343</v>
      </c>
      <c r="I34" s="6" t="n">
        <v>0.03600000425292382</v>
      </c>
      <c r="J34" s="6" t="n">
        <v>0.03741931731351311</v>
      </c>
      <c r="K34" s="3" t="n">
        <v>3532.973736045269</v>
      </c>
      <c r="L34" s="3" t="n">
        <v>5126.652124418504</v>
      </c>
    </row>
    <row r="35">
      <c r="A35" t="inlineStr">
        <is>
          <t>2026-09-30</t>
        </is>
      </c>
      <c r="B35" s="5" t="n">
        <v>50007006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15546358.26567179</v>
      </c>
      <c r="H35" s="5" t="n">
        <v>34460647.73432822</v>
      </c>
      <c r="I35" s="6" t="n">
        <v>0.03600000425292382</v>
      </c>
      <c r="J35" s="6" t="n">
        <v>0.03741931731351311</v>
      </c>
      <c r="K35" s="3" t="n">
        <v>3532.860033972669</v>
      </c>
      <c r="L35" s="3" t="n">
        <v>5126.652124418504</v>
      </c>
    </row>
    <row r="37">
      <c r="A37" s="8" t="inlineStr">
        <is>
          <t>Σ daily charges</t>
        </is>
      </c>
      <c r="K37" s="10" t="n">
        <v>76824.23346740459</v>
      </c>
      <c r="L37" s="10" t="n">
        <v>114537.8374619058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2026-10-01T10:53:28Z</dcterms:created>
  <dcterms:modified xsi:type="dcterms:W3CDTF">2026-10-01T10:53:29Z</dcterms:modified>
</cp:coreProperties>
</file>