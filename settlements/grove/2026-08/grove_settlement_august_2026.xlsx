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4913183.004893322</v>
      </c>
    </row>
    <row r="5">
      <c r="A5" t="inlineStr">
        <is>
          <t>+ agent_rate (subproxy USDS / sUSDS yield)</t>
        </is>
      </c>
      <c r="B5" s="3" t="n">
        <v>78320.9586156272</v>
      </c>
    </row>
    <row r="6">
      <c r="A6" t="inlineStr">
        <is>
          <t>+ distribution_rewards (settle-dr-dune)</t>
        </is>
      </c>
      <c r="B6" s="3" t="n">
        <v>16620.77</v>
      </c>
    </row>
    <row r="7">
      <c r="A7" t="inlineStr">
        <is>
          <t>+ chronicle_points (20% of base rate on Chronicle Farm USDS)</t>
        </is>
      </c>
      <c r="B7" s="3" t="n">
        <v>12218.71084277804</v>
      </c>
    </row>
    <row r="8">
      <c r="A8" t="inlineStr"/>
      <c r="B8" s="4" t="n">
        <v>5020343.444351727</v>
      </c>
    </row>
    <row r="10">
      <c r="A10" s="2" t="inlineStr">
        <is>
          <t>Sky side</t>
        </is>
      </c>
      <c r="B10" s="2" t="inlineStr">
        <is>
          <t>USD</t>
        </is>
      </c>
    </row>
    <row r="11">
      <c r="A11" t="inlineStr">
        <is>
          <t>CoF on utilized (BR × Net_Subs)</t>
        </is>
      </c>
      <c r="B11" s="3" t="n">
        <v>3720604.844326282</v>
      </c>
    </row>
    <row r="12">
      <c r="A12" t="inlineStr">
        <is>
          <t>+ SDE revenue (Sky-Direct, full to Sky)</t>
        </is>
      </c>
      <c r="B12" s="3" t="n">
        <v>4619206.044032157</v>
      </c>
    </row>
    <row r="13">
      <c r="A13" t="inlineStr"/>
      <c r="B13" s="4" t="n">
        <v>8339810.88835844</v>
      </c>
    </row>
    <row r="15">
      <c r="A15" s="2" t="inlineStr">
        <is>
          <t>Sky Revenue (max) — BR × full ilk debt, no deductions</t>
        </is>
      </c>
      <c r="B15" s="2" t="inlineStr">
        <is>
          <t>USD</t>
        </is>
      </c>
    </row>
    <row r="16">
      <c r="A16" t="inlineStr">
        <is>
          <t>CoF on Net_Subs (actual BR × utilized)</t>
        </is>
      </c>
      <c r="B16" s="3" t="n">
        <v>3720604.844326282</v>
      </c>
    </row>
    <row r="17">
      <c r="A17" t="inlineStr">
        <is>
          <t>reduction from idle/SDE deductions</t>
        </is>
      </c>
      <c r="B17" s="3" t="n">
        <v>-4856212.221015193</v>
      </c>
    </row>
    <row r="18">
      <c r="A18" t="inlineStr"/>
      <c r="B18" s="4" t="n">
        <v>8576817.065341476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4913183.004893322</v>
      </c>
    </row>
    <row r="22">
      <c r="A22" t="inlineStr">
        <is>
          <t>− CoF (deducted per-venue in display)</t>
        </is>
      </c>
      <c r="B22" s="3" t="n">
        <v>-3720604.844326282</v>
      </c>
    </row>
    <row r="23">
      <c r="A23" t="inlineStr"/>
      <c r="B23" s="4" t="n">
        <v>1192578.160567039</v>
      </c>
    </row>
    <row r="25">
      <c r="A25" t="inlineStr">
        <is>
          <t>Period</t>
        </is>
      </c>
      <c r="B25" t="inlineStr">
        <is>
          <t>2026-08-01 → 2026-08-31 (31 days)</t>
        </is>
      </c>
    </row>
    <row r="26">
      <c r="A26" t="inlineStr">
        <is>
          <t>Pin blocks</t>
        </is>
      </c>
      <c r="B26" t="inlineStr">
        <is>
          <t>avalanche_c=94159927, base=50715726, ethereum=25878704, monad=100893400, plume=90704090</t>
        </is>
      </c>
    </row>
    <row r="27">
      <c r="A27" t="inlineStr">
        <is>
          <t>Generated</t>
        </is>
      </c>
      <c r="B27" t="inlineStr">
        <is>
          <t>2026-09-02T01:08:48+00:00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855559413.9886078</v>
      </c>
      <c r="F2" s="5" t="n">
        <v>858067027.28264</v>
      </c>
      <c r="G2" s="5" t="n">
        <v>2507613.294032158</v>
      </c>
      <c r="H2" s="5" t="n">
        <v>2507613.294032158</v>
      </c>
      <c r="I2" s="5" t="n">
        <v>0</v>
      </c>
      <c r="J2" s="5" t="n">
        <v>0</v>
      </c>
      <c r="K2" s="5" t="n">
        <v>2507613.294032158</v>
      </c>
      <c r="L2" s="5" t="n">
        <v>854752961.9830842</v>
      </c>
      <c r="M2" s="6" t="n">
        <v>0</v>
      </c>
      <c r="N2" s="5" t="n">
        <v>0</v>
      </c>
      <c r="O2" s="5" t="n">
        <v>2507613.294032158</v>
      </c>
      <c r="P2" s="5" t="n">
        <v>0</v>
      </c>
      <c r="Q2" s="5" t="n">
        <v>854752961.9830842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716141828.02</v>
      </c>
      <c r="F3" s="5" t="n">
        <v>643254421.77</v>
      </c>
      <c r="G3" s="5" t="n">
        <v>-72887406.25</v>
      </c>
      <c r="H3" s="5" t="n">
        <v>2111592.75</v>
      </c>
      <c r="I3" s="5" t="n">
        <v>0</v>
      </c>
      <c r="J3" s="5" t="n">
        <v>0</v>
      </c>
      <c r="K3" s="5" t="n">
        <v>2111592.75</v>
      </c>
      <c r="L3" s="5" t="n">
        <v>702432183.1167742</v>
      </c>
      <c r="M3" s="6" t="n">
        <v>0</v>
      </c>
      <c r="N3" s="5" t="n">
        <v>0</v>
      </c>
      <c r="O3" s="5" t="n">
        <v>2111592.75</v>
      </c>
      <c r="P3" s="5" t="n">
        <v>0</v>
      </c>
      <c r="Q3" s="5" t="n">
        <v>702432183.1167742</v>
      </c>
      <c r="R3" s="5" t="n">
        <v>0</v>
      </c>
      <c r="S3" t="inlineStr">
        <is>
          <t>SDE (fixed)</t>
        </is>
      </c>
    </row>
    <row r="4">
      <c r="A4" t="inlineStr">
        <is>
          <t>E42</t>
        </is>
      </c>
      <c r="B4" t="inlineStr">
        <is>
          <t>Galaxy Warehouse (off-chain facility — cash distribution to Grove Eth ALM)</t>
        </is>
      </c>
      <c r="C4" t="inlineStr">
        <is>
          <t>ethereum</t>
        </is>
      </c>
      <c r="D4" t="inlineStr">
        <is>
          <t>A</t>
        </is>
      </c>
      <c r="E4" s="5" t="n">
        <v>0</v>
      </c>
      <c r="F4" s="5" t="n">
        <v>0</v>
      </c>
      <c r="G4" s="5" t="n">
        <v>0</v>
      </c>
      <c r="H4" s="5" t="n">
        <v>474488.89</v>
      </c>
      <c r="I4" s="5" t="n">
        <v>0</v>
      </c>
      <c r="J4" s="5" t="n">
        <v>474488.89</v>
      </c>
      <c r="K4" s="5" t="n">
        <v>0</v>
      </c>
      <c r="L4" s="5" t="n">
        <v>304000001</v>
      </c>
      <c r="M4" s="6" t="n">
        <v>1</v>
      </c>
      <c r="N4" s="5" t="n">
        <v>932882.3997984963</v>
      </c>
      <c r="O4" s="5" t="n">
        <v>932882.3997984963</v>
      </c>
      <c r="P4" s="5" t="n">
        <v>-458393.5097984963</v>
      </c>
      <c r="Q4" s="5" t="n">
        <v>0</v>
      </c>
      <c r="R4" s="5" t="n">
        <v>0</v>
      </c>
      <c r="S4" t="inlineStr">
        <is>
          <t>(off-chain notional)</t>
        </is>
      </c>
    </row>
    <row r="5">
      <c r="A5" t="inlineStr">
        <is>
          <t>E20</t>
        </is>
      </c>
      <c r="B5" t="inlineStr">
        <is>
          <t>Janus Henderson Anemoy AAA CLO (JAAA-avalanche)</t>
        </is>
      </c>
      <c r="C5" t="inlineStr">
        <is>
          <t>avalanche_c</t>
        </is>
      </c>
      <c r="D5" t="inlineStr">
        <is>
          <t>E</t>
        </is>
      </c>
      <c r="E5" s="5" t="n">
        <v>260731201.713697</v>
      </c>
      <c r="F5" s="5" t="n">
        <v>261874260.001064</v>
      </c>
      <c r="G5" s="5" t="n">
        <v>1143058.287367016</v>
      </c>
      <c r="H5" s="5" t="n">
        <v>1143058.287367016</v>
      </c>
      <c r="I5" s="5" t="n">
        <v>0</v>
      </c>
      <c r="J5" s="5" t="n">
        <v>1143058.287367016</v>
      </c>
      <c r="K5" s="5" t="n">
        <v>0</v>
      </c>
      <c r="L5" s="5" t="n">
        <v>260731201.713697</v>
      </c>
      <c r="M5" s="6" t="n">
        <v>1</v>
      </c>
      <c r="N5" s="5" t="n">
        <v>800103.7774898543</v>
      </c>
      <c r="O5" s="5" t="n">
        <v>800103.7774898543</v>
      </c>
      <c r="P5" s="5" t="n">
        <v>342954.5098771617</v>
      </c>
      <c r="Q5" s="5" t="n">
        <v>0</v>
      </c>
      <c r="R5" s="5" t="n">
        <v>0</v>
      </c>
      <c r="S5" t="inlineStr"/>
    </row>
    <row r="6">
      <c r="A6" t="inlineStr">
        <is>
          <t>E23</t>
        </is>
      </c>
      <c r="B6" t="inlineStr">
        <is>
          <t>Steakhouse Prime Instant (Base, Morpho V2)</t>
        </is>
      </c>
      <c r="C6" t="inlineStr">
        <is>
          <t>base</t>
        </is>
      </c>
      <c r="D6" t="inlineStr">
        <is>
          <t>B</t>
        </is>
      </c>
      <c r="E6" s="5" t="n">
        <v>204310140.6956612</v>
      </c>
      <c r="F6" s="5" t="n">
        <v>205050313.3023583</v>
      </c>
      <c r="G6" s="5" t="n">
        <v>740172.6066971652</v>
      </c>
      <c r="H6" s="5" t="n">
        <v>740172.6066971652</v>
      </c>
      <c r="I6" s="5" t="n">
        <v>0</v>
      </c>
      <c r="J6" s="5" t="n">
        <v>740172.6066971652</v>
      </c>
      <c r="K6" s="5" t="n">
        <v>0</v>
      </c>
      <c r="L6" s="5" t="n">
        <v>204310140.6956612</v>
      </c>
      <c r="M6" s="6" t="n">
        <v>1</v>
      </c>
      <c r="N6" s="5" t="n">
        <v>626964.9135801707</v>
      </c>
      <c r="O6" s="5" t="n">
        <v>626964.9135801707</v>
      </c>
      <c r="P6" s="5" t="n">
        <v>113207.6931169944</v>
      </c>
      <c r="Q6" s="5" t="n">
        <v>0</v>
      </c>
      <c r="R6" s="5" t="n">
        <v>0</v>
      </c>
      <c r="S6" t="inlineStr"/>
    </row>
    <row r="7">
      <c r="A7" t="inlineStr">
        <is>
          <t>E8</t>
        </is>
      </c>
      <c r="B7" t="inlineStr">
        <is>
          <t>Janus Henderson Anemoy AAA CLO (JAAA)</t>
        </is>
      </c>
      <c r="C7" t="inlineStr">
        <is>
          <t>ethereum</t>
        </is>
      </c>
      <c r="D7" t="inlineStr">
        <is>
          <t>E</t>
        </is>
      </c>
      <c r="E7" s="5" t="n">
        <v>130164330.4336038</v>
      </c>
      <c r="F7" s="5" t="n">
        <v>130734977.1979488</v>
      </c>
      <c r="G7" s="5" t="n">
        <v>570646.7643450183</v>
      </c>
      <c r="H7" s="5" t="n">
        <v>570646.7643450183</v>
      </c>
      <c r="I7" s="5" t="n">
        <v>0</v>
      </c>
      <c r="J7" s="5" t="n">
        <v>570646.7643450183</v>
      </c>
      <c r="K7" s="5" t="n">
        <v>0</v>
      </c>
      <c r="L7" s="5" t="n">
        <v>130164330.4336038</v>
      </c>
      <c r="M7" s="6" t="n">
        <v>1</v>
      </c>
      <c r="N7" s="5" t="n">
        <v>399434.2517882582</v>
      </c>
      <c r="O7" s="5" t="n">
        <v>399434.2517882582</v>
      </c>
      <c r="P7" s="5" t="n">
        <v>171212.5125567601</v>
      </c>
      <c r="Q7" s="5" t="n">
        <v>0</v>
      </c>
      <c r="R7" s="5" t="n">
        <v>0</v>
      </c>
      <c r="S7" t="inlineStr"/>
    </row>
    <row r="8">
      <c r="A8" t="inlineStr">
        <is>
          <t>E7</t>
        </is>
      </c>
      <c r="B8" t="inlineStr">
        <is>
          <t>Securitize Tokenized AAA CLO Fund (STAC)</t>
        </is>
      </c>
      <c r="C8" t="inlineStr">
        <is>
          <t>ethereum</t>
        </is>
      </c>
      <c r="D8" t="inlineStr">
        <is>
          <t>E</t>
        </is>
      </c>
      <c r="E8" s="5" t="n">
        <v>102600718.7</v>
      </c>
      <c r="F8" s="5" t="n">
        <v>103069993.8</v>
      </c>
      <c r="G8" s="5" t="n">
        <v>469275.1</v>
      </c>
      <c r="H8" s="5" t="n">
        <v>469275.1</v>
      </c>
      <c r="I8" s="5" t="n">
        <v>0</v>
      </c>
      <c r="J8" s="5" t="n">
        <v>469275.1</v>
      </c>
      <c r="K8" s="5" t="n">
        <v>0</v>
      </c>
      <c r="L8" s="5" t="n">
        <v>102600718.7</v>
      </c>
      <c r="M8" s="6" t="n">
        <v>1</v>
      </c>
      <c r="N8" s="5" t="n">
        <v>314850.0143653172</v>
      </c>
      <c r="O8" s="5" t="n">
        <v>314850.0143653172</v>
      </c>
      <c r="P8" s="5" t="n">
        <v>154425.0856346827</v>
      </c>
      <c r="Q8" s="5" t="n">
        <v>0</v>
      </c>
      <c r="R8" s="5" t="n">
        <v>0</v>
      </c>
      <c r="S8" t="inlineStr"/>
    </row>
    <row r="9">
      <c r="A9" t="inlineStr">
        <is>
          <t>E19</t>
        </is>
      </c>
      <c r="B9" t="inlineStr">
        <is>
          <t>Grove x Steakhouse USDC High Yield (Base, Morpho 4626)</t>
        </is>
      </c>
      <c r="C9" t="inlineStr">
        <is>
          <t>base</t>
        </is>
      </c>
      <c r="D9" t="inlineStr">
        <is>
          <t>B</t>
        </is>
      </c>
      <c r="E9" s="5" t="n">
        <v>74985592.29829088</v>
      </c>
      <c r="F9" s="5" t="n">
        <v>78292572.65257983</v>
      </c>
      <c r="G9" s="5" t="n">
        <v>3306980.354288955</v>
      </c>
      <c r="H9" s="5" t="n">
        <v>306958.0407446842</v>
      </c>
      <c r="I9" s="5" t="n">
        <v>0</v>
      </c>
      <c r="J9" s="5" t="n">
        <v>306958.0407446842</v>
      </c>
      <c r="K9" s="5" t="n">
        <v>0</v>
      </c>
      <c r="L9" s="5" t="n">
        <v>84921599.44607566</v>
      </c>
      <c r="M9" s="6" t="n">
        <v>1</v>
      </c>
      <c r="N9" s="5" t="n">
        <v>260598.240872972</v>
      </c>
      <c r="O9" s="5" t="n">
        <v>260598.240872972</v>
      </c>
      <c r="P9" s="5" t="n">
        <v>46359.79987171225</v>
      </c>
      <c r="Q9" s="5" t="n">
        <v>0</v>
      </c>
      <c r="R9" s="5" t="n">
        <v>0</v>
      </c>
      <c r="S9" t="inlineStr"/>
    </row>
    <row r="10">
      <c r="A10" t="inlineStr">
        <is>
          <t>E21</t>
        </is>
      </c>
      <c r="B10" t="inlineStr">
        <is>
          <t>Galaxy Arch CLO Token (GACLO-1)</t>
        </is>
      </c>
      <c r="C10" t="inlineStr">
        <is>
          <t>avalanche_c</t>
        </is>
      </c>
      <c r="D10" t="inlineStr">
        <is>
          <t>E</t>
        </is>
      </c>
      <c r="E10" s="5" t="n">
        <v>27586956.37</v>
      </c>
      <c r="F10" s="5" t="n">
        <v>17907834.79</v>
      </c>
      <c r="G10" s="5" t="n">
        <v>-9679121.58</v>
      </c>
      <c r="H10" s="5" t="n">
        <v>222936.27</v>
      </c>
      <c r="I10" s="5" t="n">
        <v>0</v>
      </c>
      <c r="J10" s="5" t="n">
        <v>222936.27</v>
      </c>
      <c r="K10" s="5" t="n">
        <v>0</v>
      </c>
      <c r="L10" s="5" t="n">
        <v>27586956.37</v>
      </c>
      <c r="M10" s="6" t="n">
        <v>1</v>
      </c>
      <c r="N10" s="5" t="n">
        <v>84655.87492409915</v>
      </c>
      <c r="O10" s="5" t="n">
        <v>84655.87492409915</v>
      </c>
      <c r="P10" s="5" t="n">
        <v>138280.3950759009</v>
      </c>
      <c r="Q10" s="5" t="n">
        <v>0</v>
      </c>
      <c r="R10" s="5" t="n">
        <v>0</v>
      </c>
      <c r="S10" t="inlineStr"/>
    </row>
    <row r="11">
      <c r="A11" t="inlineStr">
        <is>
          <t>E12</t>
        </is>
      </c>
      <c r="B11" t="inlineStr">
        <is>
          <t>Uniswap V3 AUSD/USDC pool (NFT positions)</t>
        </is>
      </c>
      <c r="C11" t="inlineStr">
        <is>
          <t>ethereum</t>
        </is>
      </c>
      <c r="D11" t="inlineStr">
        <is>
          <t>F</t>
        </is>
      </c>
      <c r="E11" s="5" t="n">
        <v>25057232.614785</v>
      </c>
      <c r="F11" s="5" t="n">
        <v>29007524.509497</v>
      </c>
      <c r="G11" s="5" t="n">
        <v>3950291.894712</v>
      </c>
      <c r="H11" s="5" t="n">
        <v>-49708.105287</v>
      </c>
      <c r="I11" s="5" t="n">
        <v>0</v>
      </c>
      <c r="J11" s="5" t="n">
        <v>-49708.105287</v>
      </c>
      <c r="K11" s="5" t="n">
        <v>0</v>
      </c>
      <c r="L11" s="5" t="n">
        <v>26605619.71155881</v>
      </c>
      <c r="M11" s="6" t="n">
        <v>1</v>
      </c>
      <c r="N11" s="5" t="n">
        <v>81644.45487829178</v>
      </c>
      <c r="O11" s="5" t="n">
        <v>81644.45487829178</v>
      </c>
      <c r="P11" s="5" t="n">
        <v>-131352.5601652918</v>
      </c>
      <c r="Q11" s="5" t="n">
        <v>0</v>
      </c>
      <c r="R11" s="5" t="n">
        <v>0</v>
      </c>
      <c r="S11" t="inlineStr"/>
    </row>
    <row r="12">
      <c r="A12" t="inlineStr">
        <is>
          <t>E11</t>
        </is>
      </c>
      <c r="B12" t="inlineStr">
        <is>
          <t>Curve AUSD/USDC stableswap LP</t>
        </is>
      </c>
      <c r="C12" t="inlineStr">
        <is>
          <t>ethereum</t>
        </is>
      </c>
      <c r="D12" t="inlineStr">
        <is>
          <t>F</t>
        </is>
      </c>
      <c r="E12" s="5" t="n">
        <v>25001934.08299074</v>
      </c>
      <c r="F12" s="5" t="n">
        <v>0</v>
      </c>
      <c r="G12" s="5" t="n">
        <v>-25001934.08299074</v>
      </c>
      <c r="H12" s="5" t="n">
        <v>165.2909973481477</v>
      </c>
      <c r="I12" s="5" t="n">
        <v>0</v>
      </c>
      <c r="J12" s="5" t="n">
        <v>165.2909973481477</v>
      </c>
      <c r="K12" s="5" t="n">
        <v>0</v>
      </c>
      <c r="L12" s="5" t="n">
        <v>24195414.74834597</v>
      </c>
      <c r="M12" s="6" t="n">
        <v>1</v>
      </c>
      <c r="N12" s="5" t="n">
        <v>74248.27796154158</v>
      </c>
      <c r="O12" s="5" t="n">
        <v>74248.27796154158</v>
      </c>
      <c r="P12" s="5" t="n">
        <v>-74082.98696419342</v>
      </c>
      <c r="Q12" s="5" t="n">
        <v>0</v>
      </c>
      <c r="R12" s="5" t="n">
        <v>0</v>
      </c>
      <c r="S12" t="inlineStr"/>
    </row>
    <row r="13">
      <c r="A13" t="inlineStr">
        <is>
          <t>E22</t>
        </is>
      </c>
      <c r="B13" t="inlineStr">
        <is>
          <t>Anemoy Tokenized Apollo Diversified Credit Fund (ACRDX)</t>
        </is>
      </c>
      <c r="C13" t="inlineStr">
        <is>
          <t>plume</t>
        </is>
      </c>
      <c r="D13" t="inlineStr">
        <is>
          <t>E</t>
        </is>
      </c>
      <c r="E13" s="5" t="n">
        <v>32853651.7342501</v>
      </c>
      <c r="F13" s="5" t="n">
        <v>20703791.96596751</v>
      </c>
      <c r="G13" s="5" t="n">
        <v>-12149859.76828259</v>
      </c>
      <c r="H13" s="5" t="n">
        <v>133369.453796981</v>
      </c>
      <c r="I13" s="5" t="n">
        <v>0</v>
      </c>
      <c r="J13" s="5" t="n">
        <v>133369.453796981</v>
      </c>
      <c r="K13" s="5" t="n">
        <v>0</v>
      </c>
      <c r="L13" s="5" t="n">
        <v>24136521.31858072</v>
      </c>
      <c r="M13" s="6" t="n">
        <v>1</v>
      </c>
      <c r="N13" s="5" t="n">
        <v>74067.55215920263</v>
      </c>
      <c r="O13" s="5" t="n">
        <v>74067.55215920263</v>
      </c>
      <c r="P13" s="5" t="n">
        <v>59301.90163777841</v>
      </c>
      <c r="Q13" s="5" t="n">
        <v>0</v>
      </c>
      <c r="R13" s="5" t="n">
        <v>0</v>
      </c>
      <c r="S13" t="inlineStr"/>
    </row>
    <row r="14">
      <c r="A14" t="inlineStr">
        <is>
          <t>E41</t>
        </is>
      </c>
      <c r="B14" t="inlineStr">
        <is>
          <t>JTRSY Basin escrow — USDS pending subscription (Diamond PAU)</t>
        </is>
      </c>
      <c r="C14" t="inlineStr">
        <is>
          <t>ethereum</t>
        </is>
      </c>
      <c r="D14" t="inlineStr">
        <is>
          <t>A</t>
        </is>
      </c>
      <c r="E14" s="5" t="n">
        <v>1000000</v>
      </c>
      <c r="F14" s="5" t="n">
        <v>12500000</v>
      </c>
      <c r="G14" s="5" t="n">
        <v>11500000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12500000</v>
      </c>
      <c r="M14" s="6" t="n">
        <v>1</v>
      </c>
      <c r="N14" s="5" t="n">
        <v>38358.65118132419</v>
      </c>
      <c r="O14" s="5" t="n">
        <v>38358.65118132419</v>
      </c>
      <c r="P14" s="5" t="n">
        <v>-38358.65118132419</v>
      </c>
      <c r="Q14" s="5" t="n">
        <v>0</v>
      </c>
      <c r="R14" s="5" t="n">
        <v>0</v>
      </c>
      <c r="S14" t="inlineStr"/>
    </row>
    <row r="15">
      <c r="A15" t="inlineStr">
        <is>
          <t>E6</t>
        </is>
      </c>
      <c r="B15" t="inlineStr">
        <is>
          <t>Grove x Steakhouse AUSD (Morpho 4626)</t>
        </is>
      </c>
      <c r="C15" t="inlineStr">
        <is>
          <t>ethereum</t>
        </is>
      </c>
      <c r="D15" t="inlineStr">
        <is>
          <t>B</t>
        </is>
      </c>
      <c r="E15" s="5" t="n">
        <v>25197943.54576933</v>
      </c>
      <c r="F15" s="5" t="n">
        <v>0.02838475959697621</v>
      </c>
      <c r="G15" s="5" t="n">
        <v>-25197943.51738457</v>
      </c>
      <c r="H15" s="5" t="n">
        <v>36533.48078651951</v>
      </c>
      <c r="I15" s="5" t="n">
        <v>0</v>
      </c>
      <c r="J15" s="5" t="n">
        <v>36533.48078651951</v>
      </c>
      <c r="K15" s="5" t="n">
        <v>0</v>
      </c>
      <c r="L15" s="5" t="n">
        <v>8388017.767041751</v>
      </c>
      <c r="M15" s="6" t="n">
        <v>1</v>
      </c>
      <c r="N15" s="5" t="n">
        <v>25740.24381029635</v>
      </c>
      <c r="O15" s="5" t="n">
        <v>25740.24381029635</v>
      </c>
      <c r="P15" s="5" t="n">
        <v>10793.23697622316</v>
      </c>
      <c r="Q15" s="5" t="n">
        <v>0</v>
      </c>
      <c r="R15" s="5" t="n">
        <v>0</v>
      </c>
      <c r="S15" t="inlineStr"/>
    </row>
    <row r="16">
      <c r="A16" t="inlineStr">
        <is>
          <t>E4</t>
        </is>
      </c>
      <c r="B16" t="inlineStr">
        <is>
          <t>Grove x Steakhouse USDC (Morpho 4626)</t>
        </is>
      </c>
      <c r="C16" t="inlineStr">
        <is>
          <t>ethereum</t>
        </is>
      </c>
      <c r="D16" t="inlineStr">
        <is>
          <t>B</t>
        </is>
      </c>
      <c r="E16" s="5" t="n">
        <v>1003527.316199909</v>
      </c>
      <c r="F16" s="5" t="n">
        <v>4010961.682987081</v>
      </c>
      <c r="G16" s="5" t="n">
        <v>3007434.366787171</v>
      </c>
      <c r="H16" s="5" t="n">
        <v>7322.9245532554</v>
      </c>
      <c r="I16" s="5" t="n">
        <v>0</v>
      </c>
      <c r="J16" s="5" t="n">
        <v>7322.9245532554</v>
      </c>
      <c r="K16" s="5" t="n">
        <v>0</v>
      </c>
      <c r="L16" s="5" t="n">
        <v>2261638.566168971</v>
      </c>
      <c r="M16" s="6" t="n">
        <v>1</v>
      </c>
      <c r="N16" s="5" t="n">
        <v>6940.272388632459</v>
      </c>
      <c r="O16" s="5" t="n">
        <v>6940.272388632459</v>
      </c>
      <c r="P16" s="5" t="n">
        <v>382.6521646229415</v>
      </c>
      <c r="Q16" s="5" t="n">
        <v>0</v>
      </c>
      <c r="R16" s="5" t="n">
        <v>0</v>
      </c>
      <c r="S16" t="inlineStr"/>
    </row>
    <row r="17">
      <c r="A17" t="inlineStr">
        <is>
          <t>E15</t>
        </is>
      </c>
      <c r="B17" t="inlineStr">
        <is>
          <t>USDC raw (ALM idle)</t>
        </is>
      </c>
      <c r="C17" t="inlineStr">
        <is>
          <t>ethereum</t>
        </is>
      </c>
      <c r="D17" t="inlineStr">
        <is>
          <t>A</t>
        </is>
      </c>
      <c r="E17" s="5" t="n">
        <v>0</v>
      </c>
      <c r="F17" s="5" t="n">
        <v>999.178498</v>
      </c>
      <c r="G17" s="5" t="n">
        <v>999.178498</v>
      </c>
      <c r="H17" s="5" t="n">
        <v>-1.4e-23</v>
      </c>
      <c r="I17" s="5" t="n">
        <v>0</v>
      </c>
      <c r="J17" s="5" t="n">
        <v>-1.4e-23</v>
      </c>
      <c r="K17" s="5" t="n">
        <v>0</v>
      </c>
      <c r="L17" s="5" t="n">
        <v>27705.40420183423</v>
      </c>
      <c r="M17" s="6" t="n">
        <v>1</v>
      </c>
      <c r="N17" s="5" t="n">
        <v>85.01935484926022</v>
      </c>
      <c r="O17" s="5" t="n">
        <v>85.01935484926022</v>
      </c>
      <c r="P17" s="5" t="n">
        <v>-85.01935484926022</v>
      </c>
      <c r="Q17" s="5" t="n">
        <v>0</v>
      </c>
      <c r="R17" s="5" t="n">
        <v>0</v>
      </c>
      <c r="S17" t="inlineStr"/>
    </row>
    <row r="18">
      <c r="A18" t="inlineStr">
        <is>
          <t>E31</t>
        </is>
      </c>
      <c r="B18" t="inlineStr">
        <is>
          <t>AUSD raw (alt holder idle)</t>
        </is>
      </c>
      <c r="C18" t="inlineStr">
        <is>
          <t>ethereum</t>
        </is>
      </c>
      <c r="D18" t="inlineStr">
        <is>
          <t>A</t>
        </is>
      </c>
      <c r="E18" s="5" t="n">
        <v>10068.978846</v>
      </c>
      <c r="F18" s="5" t="n">
        <v>10068.978846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10068.978846</v>
      </c>
      <c r="M18" s="6" t="n">
        <v>1</v>
      </c>
      <c r="N18" s="5" t="n">
        <v>30.89859578446769</v>
      </c>
      <c r="O18" s="5" t="n">
        <v>30.89859578446769</v>
      </c>
      <c r="P18" s="5" t="n">
        <v>-30.89859578446769</v>
      </c>
      <c r="Q18" s="5" t="n">
        <v>0</v>
      </c>
      <c r="R18" s="5" t="n">
        <v>0</v>
      </c>
      <c r="S18" t="inlineStr"/>
    </row>
    <row r="19">
      <c r="A19" t="inlineStr">
        <is>
          <t>E3</t>
        </is>
      </c>
      <c r="B19" t="inlineStr">
        <is>
          <t>Aave Ethereum RLUSD (aToken)</t>
        </is>
      </c>
      <c r="C19" t="inlineStr">
        <is>
          <t>ethereum</t>
        </is>
      </c>
      <c r="D19" t="inlineStr">
        <is>
          <t>C</t>
        </is>
      </c>
      <c r="E19" s="5" t="n">
        <v>0.369358080066628</v>
      </c>
      <c r="F19" s="5" t="n">
        <v>0.3702338680298627</v>
      </c>
      <c r="G19" s="5" t="n">
        <v>0.00087578796323476</v>
      </c>
      <c r="H19" s="5" t="n">
        <v>0.00087578796323476</v>
      </c>
      <c r="I19" s="5" t="n">
        <v>0</v>
      </c>
      <c r="J19" s="5" t="n">
        <v>0.00087578796323476</v>
      </c>
      <c r="K19" s="5" t="n">
        <v>0</v>
      </c>
      <c r="L19" s="5" t="n">
        <v>0.369358080066628</v>
      </c>
      <c r="M19" s="6" t="n">
        <v>1</v>
      </c>
      <c r="N19" s="5" t="n">
        <v>0.001133446220342351</v>
      </c>
      <c r="O19" s="5" t="n">
        <v>0.001133446220342351</v>
      </c>
      <c r="P19" s="5" t="n">
        <v>-0.0002576582571075914</v>
      </c>
      <c r="Q19" s="5" t="n">
        <v>0</v>
      </c>
      <c r="R19" s="5" t="n">
        <v>0</v>
      </c>
      <c r="S19" t="inlineStr"/>
    </row>
    <row r="20">
      <c r="A20" t="inlineStr">
        <is>
          <t>E1</t>
        </is>
      </c>
      <c r="B20" t="inlineStr">
        <is>
          <t>Aave Horizon RWA RLUSD (aToken)</t>
        </is>
      </c>
      <c r="C20" t="inlineStr">
        <is>
          <t>ethereum</t>
        </is>
      </c>
      <c r="D20" t="inlineStr">
        <is>
          <t>C</t>
        </is>
      </c>
      <c r="E20" s="5" t="n">
        <v>0.01425431258186553</v>
      </c>
      <c r="F20" s="5" t="n">
        <v>0.01427085831446647</v>
      </c>
      <c r="G20" s="5" t="n">
        <v>1.6545732600935e-05</v>
      </c>
      <c r="H20" s="5" t="n">
        <v>1.6545732600935e-05</v>
      </c>
      <c r="I20" s="5" t="n">
        <v>0</v>
      </c>
      <c r="J20" s="5" t="n">
        <v>1.6545732600935e-05</v>
      </c>
      <c r="K20" s="5" t="n">
        <v>0</v>
      </c>
      <c r="L20" s="5" t="n">
        <v>0.01425431258186553</v>
      </c>
      <c r="M20" s="6" t="n">
        <v>1</v>
      </c>
      <c r="N20" s="5" t="n">
        <v>4.374209633258725e-05</v>
      </c>
      <c r="O20" s="5" t="n">
        <v>4.374209633258725e-05</v>
      </c>
      <c r="P20" s="5" t="n">
        <v>-2.719636373165225e-05</v>
      </c>
      <c r="Q20" s="5" t="n">
        <v>0</v>
      </c>
      <c r="R20" s="5" t="n">
        <v>0</v>
      </c>
      <c r="S20" t="inlineStr"/>
    </row>
    <row r="21">
      <c r="A21" t="inlineStr">
        <is>
          <t>E2</t>
        </is>
      </c>
      <c r="B21" t="inlineStr">
        <is>
          <t>Aave Horizon RWA USDC (aToken)</t>
        </is>
      </c>
      <c r="C21" t="inlineStr">
        <is>
          <t>ethereum</t>
        </is>
      </c>
      <c r="D21" t="inlineStr">
        <is>
          <t>C</t>
        </is>
      </c>
      <c r="E21" s="5" t="n">
        <v>1e-06</v>
      </c>
      <c r="F21" s="5" t="n">
        <v>1e-06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1e-06</v>
      </c>
      <c r="M21" s="6" t="n">
        <v>1</v>
      </c>
      <c r="N21" s="5" t="n">
        <v>3.068692094505935e-09</v>
      </c>
      <c r="O21" s="5" t="n">
        <v>3.068692094505935e-09</v>
      </c>
      <c r="P21" s="5" t="n">
        <v>-3.068692094505935e-09</v>
      </c>
      <c r="Q21" s="5" t="n">
        <v>0</v>
      </c>
      <c r="R21" s="5" t="n">
        <v>0</v>
      </c>
      <c r="S21" t="inlineStr"/>
    </row>
    <row r="22">
      <c r="A22" t="inlineStr">
        <is>
          <t>E5</t>
        </is>
      </c>
      <c r="B22" t="inlineStr">
        <is>
          <t>Grove x Steakhouse USDC High Yield (Morpho 4626)</t>
        </is>
      </c>
      <c r="C22" t="inlineStr">
        <is>
          <t>ethereum</t>
        </is>
      </c>
      <c r="D22" t="inlineStr">
        <is>
          <t>B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E37</t>
        </is>
      </c>
      <c r="B23" t="inlineStr">
        <is>
          <t>Maple syrupUSDC (ERC-4626)</t>
        </is>
      </c>
      <c r="C23" t="inlineStr">
        <is>
          <t>ethereum</t>
        </is>
      </c>
      <c r="D23" t="inlineStr">
        <is>
          <t>B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E30</t>
        </is>
      </c>
      <c r="B24" t="inlineStr">
        <is>
          <t>Uniswap V3 AUSD/USDC pool (NFT positions — alt holder)</t>
        </is>
      </c>
      <c r="C24" t="inlineStr">
        <is>
          <t>ethereum</t>
        </is>
      </c>
      <c r="D24" t="inlineStr">
        <is>
          <t>F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E13</t>
        </is>
      </c>
      <c r="B25" t="inlineStr">
        <is>
          <t>RLUSD raw (ALM idle)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/>
    </row>
    <row r="26">
      <c r="A26" t="inlineStr">
        <is>
          <t>E32</t>
        </is>
      </c>
      <c r="B26" t="inlineStr">
        <is>
          <t>USDC raw (alt holder idle)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/>
    </row>
    <row r="27">
      <c r="A27" t="inlineStr">
        <is>
          <t>E16</t>
        </is>
      </c>
      <c r="B27" t="inlineStr">
        <is>
          <t>DAI raw (ALM idle)</t>
        </is>
      </c>
      <c r="C27" t="inlineStr">
        <is>
          <t>ethereum</t>
        </is>
      </c>
      <c r="D27" t="inlineStr">
        <is>
          <t>A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E17</t>
        </is>
      </c>
      <c r="B28" t="inlineStr">
        <is>
          <t>USDS raw / POL (ALM idle — already netted out of utilized)</t>
        </is>
      </c>
      <c r="C28" t="inlineStr">
        <is>
          <t>ethereum</t>
        </is>
      </c>
      <c r="D28" t="inlineStr">
        <is>
          <t>A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>
        <is>
          <t>CoF excluded (already deducted from utilized)</t>
        </is>
      </c>
    </row>
    <row r="29">
      <c r="A29" t="inlineStr">
        <is>
          <t>E18</t>
        </is>
      </c>
      <c r="B29" t="inlineStr">
        <is>
          <t>sUSDS raw / POL (ALM idle — Cat B 4626)</t>
        </is>
      </c>
      <c r="C29" t="inlineStr">
        <is>
          <t>ethereum</t>
        </is>
      </c>
      <c r="D29" t="inlineStr">
        <is>
          <t>B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E24</t>
        </is>
      </c>
      <c r="B30" t="inlineStr">
        <is>
          <t>Steakhouse High Yield PYUSD (Morpho 4626)</t>
        </is>
      </c>
      <c r="C30" t="inlineStr">
        <is>
          <t>ethereum</t>
        </is>
      </c>
      <c r="D30" t="inlineStr">
        <is>
          <t>B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E26</t>
        </is>
      </c>
      <c r="B31" t="inlineStr">
        <is>
          <t>PYUSD raw (ALM idle)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t="inlineStr"/>
    </row>
    <row r="32">
      <c r="A32" t="inlineStr">
        <is>
          <t>E27</t>
        </is>
      </c>
      <c r="B32" t="inlineStr">
        <is>
          <t>USDC raw on Base (ALM idle)</t>
        </is>
      </c>
      <c r="C32" t="inlineStr">
        <is>
          <t>base</t>
        </is>
      </c>
      <c r="D32" t="inlineStr">
        <is>
          <t>A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/>
    </row>
    <row r="33">
      <c r="A33" t="inlineStr">
        <is>
          <t>E38</t>
        </is>
      </c>
      <c r="B33" t="inlineStr">
        <is>
          <t>Agora AUSD incentives (cash distribution to Grove Eth ALM)</t>
        </is>
      </c>
      <c r="C33" t="inlineStr">
        <is>
          <t>ethereum</t>
        </is>
      </c>
      <c r="D33" t="inlineStr">
        <is>
          <t>A</t>
        </is>
      </c>
      <c r="E33" s="5" t="n">
        <v>0</v>
      </c>
      <c r="F33" s="5" t="n">
        <v>0</v>
      </c>
      <c r="G33" s="5" t="n">
        <v>0</v>
      </c>
      <c r="H33" s="5" t="n">
        <v>857964</v>
      </c>
      <c r="I33" s="5" t="n">
        <v>0</v>
      </c>
      <c r="J33" s="5" t="n">
        <v>857964</v>
      </c>
      <c r="K33" s="5" t="n">
        <v>0</v>
      </c>
      <c r="L33" s="5" t="n">
        <v>0</v>
      </c>
      <c r="M33" s="6" t="n">
        <v>1</v>
      </c>
      <c r="N33" s="5" t="n">
        <v>0</v>
      </c>
      <c r="O33" s="5" t="n">
        <v>0</v>
      </c>
      <c r="P33" s="5" t="n">
        <v>857964</v>
      </c>
      <c r="Q33" s="5" t="n">
        <v>0</v>
      </c>
      <c r="R33" s="5" t="n">
        <v>0</v>
      </c>
      <c r="S33" t="inlineStr"/>
    </row>
    <row r="34">
      <c r="A34" t="inlineStr">
        <is>
          <t>E40</t>
        </is>
      </c>
      <c r="B34" t="inlineStr">
        <is>
          <t>USDS raw (Diamond PAU ALM idle)</t>
        </is>
      </c>
      <c r="C34" t="inlineStr">
        <is>
          <t>ethereum</t>
        </is>
      </c>
      <c r="D34" t="inlineStr">
        <is>
          <t>A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6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t="inlineStr"/>
    </row>
    <row r="35">
      <c r="A35" t="inlineStr">
        <is>
          <t>PSM_CURVE_DEDUCT</t>
        </is>
      </c>
      <c r="B35" t="inlineStr">
        <is>
          <t>PSM3 USDS + PSM3 USDC (SDE) + Curve idle USDS — BR deduction (unattributed)</t>
        </is>
      </c>
      <c r="C35" t="inlineStr"/>
      <c r="D35" t="inlineStr"/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7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5" t="n">
        <v>1200035278.799186</v>
      </c>
    </row>
    <row r="6">
      <c r="A6" t="inlineStr">
        <is>
          <t xml:space="preserve">  — first $1B (subsidised tranche)</t>
        </is>
      </c>
      <c r="B6" s="5" t="n">
        <v>1000000000</v>
      </c>
    </row>
    <row r="7">
      <c r="A7" t="inlineStr">
        <is>
          <t xml:space="preserve">  — excess (full base-rate tranche)</t>
        </is>
      </c>
      <c r="B7" s="5" t="n">
        <v>200035278.7991856</v>
      </c>
    </row>
    <row r="8">
      <c r="A8" t="inlineStr">
        <is>
          <t>Base rate (BR_apr = apy_to_apr(SSR,12) + spread; 30bps, 20bps from 2026-07-23), period avg</t>
        </is>
      </c>
      <c r="B8" s="6" t="n">
        <v>0.03664455749990904</v>
      </c>
    </row>
    <row r="9">
      <c r="A9" t="inlineStr">
        <is>
          <t>Reference rate (tbill_3m→sofr@2026-07-23), period avg</t>
        </is>
      </c>
      <c r="B9" s="6" t="n">
        <v>0.03641290322580645</v>
      </c>
    </row>
    <row r="10">
      <c r="A10" t="inlineStr">
        <is>
          <t>Subsidised rate (BR*), period avg</t>
        </is>
      </c>
      <c r="B10" s="6" t="n">
        <v>0.0364769172781972</v>
      </c>
    </row>
    <row r="11">
      <c r="A11" s="7" t="inlineStr">
        <is>
          <t>Effective blended rate charged</t>
        </is>
      </c>
      <c r="B11" s="8" t="n">
        <v>0.03650486142207407</v>
      </c>
    </row>
    <row r="12">
      <c r="A12" s="7" t="inlineStr">
        <is>
          <t>Diff vs base rate (bps)</t>
        </is>
      </c>
      <c r="B12" s="9" t="n">
        <v>-1.396960778349715</v>
      </c>
    </row>
    <row r="13">
      <c r="A13" s="7" t="inlineStr">
        <is>
          <t>Subsidy benefit to prime (USD)</t>
        </is>
      </c>
      <c r="B13" s="10" t="n">
        <v>14237.93663854018</v>
      </c>
    </row>
    <row r="15">
      <c r="A15" t="inlineStr">
        <is>
          <t>CoF at full base rate (no subsidy)</t>
        </is>
      </c>
      <c r="B15" s="3" t="n">
        <v>3734842.780964822</v>
      </c>
    </row>
    <row r="16">
      <c r="A16" t="inlineStr">
        <is>
          <t xml:space="preserve">  − actual CoF (subsidy on first tranche)</t>
        </is>
      </c>
      <c r="B16" s="3" t="n">
        <v>3720604.844326282</v>
      </c>
    </row>
    <row r="17">
      <c r="A17" s="7" t="inlineStr">
        <is>
          <t xml:space="preserve">  = subsidy benefit</t>
        </is>
      </c>
      <c r="B17" s="10" t="n">
        <v>14237.93663854018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5" t="n">
        <v>1000000000</v>
      </c>
      <c r="C20" s="3" t="n">
        <v>3098039.549655105</v>
      </c>
    </row>
    <row r="21">
      <c r="A21" t="inlineStr">
        <is>
          <t>Excess (&gt; cap)</t>
        </is>
      </c>
      <c r="B21" s="5" t="n">
        <v>200035278.7991856</v>
      </c>
      <c r="C21" s="3" t="n">
        <v>622565.2946711777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3720604.844326282</v>
      </c>
    </row>
    <row r="25">
      <c r="A25" t="inlineStr">
        <is>
          <t>+ Sky-Direct revenue (full venue yield on fixed/capped SDE)</t>
        </is>
      </c>
      <c r="B25" s="3" t="n">
        <v>4619206.044032157</v>
      </c>
    </row>
    <row r="26">
      <c r="A26" t="inlineStr">
        <is>
          <t>equals sky_revenue (total Sky take this month)</t>
        </is>
      </c>
      <c r="B26" s="3" t="n">
        <v>8339810.88835844</v>
      </c>
    </row>
    <row r="28">
      <c r="A28" s="11" t="inlineStr">
        <is>
          <t>Utilized base = cum_debt − idle USDS − PSM USDS − Σ SDE asset value − Curve idle − lending idle</t>
        </is>
      </c>
    </row>
    <row r="30">
      <c r="A30" s="7" t="inlineStr">
        <is>
          <t>Sky Revenue (max) — BR × full ilk debt (no deductions)</t>
        </is>
      </c>
      <c r="B30" s="3" t="n">
        <v>8576817.065341476</v>
      </c>
    </row>
    <row r="31">
      <c r="A31" t="inlineStr">
        <is>
          <t xml:space="preserve">    ↳ actual CoF on Net_Subs (BR × utilized)</t>
        </is>
      </c>
      <c r="B31" s="3" t="n">
        <v>3720604.844326282</v>
      </c>
    </row>
    <row r="32">
      <c r="A32" t="inlineStr">
        <is>
          <t xml:space="preserve">    ↳ reduction from idle/SDE deductions</t>
        </is>
      </c>
      <c r="B32" s="3" t="n">
        <v>-4856212.221015193</v>
      </c>
    </row>
    <row r="33" ht="60" customHeight="1">
      <c r="A33" s="12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>
      <c r="A35" s="2" t="inlineStr">
        <is>
          <t>Subsidy</t>
        </is>
      </c>
      <c r="B35" s="2" t="inlineStr">
        <is>
          <t>Value</t>
        </is>
      </c>
    </row>
    <row r="36">
      <c r="A36" t="inlineStr">
        <is>
          <t>enabled</t>
        </is>
      </c>
      <c r="B36" t="inlineStr">
        <is>
          <t>true</t>
        </is>
      </c>
    </row>
    <row r="37">
      <c r="A37" t="inlineStr">
        <is>
          <t>cap_usd</t>
        </is>
      </c>
      <c r="B37" s="5" t="n">
        <v>1000000000</v>
      </c>
    </row>
    <row r="38">
      <c r="A38" t="inlineStr">
        <is>
          <t>program_start</t>
        </is>
      </c>
      <c r="B38" t="inlineStr">
        <is>
          <t>2026-01-01</t>
        </is>
      </c>
    </row>
    <row r="39">
      <c r="A39" t="inlineStr">
        <is>
          <t>ramp_months</t>
        </is>
      </c>
      <c r="B39" t="n">
        <v>24</v>
      </c>
    </row>
    <row r="40">
      <c r="A40" t="inlineStr">
        <is>
          <t>ref_rate_kind</t>
        </is>
      </c>
      <c r="B40" t="inlineStr">
        <is>
          <t>tbill_3m→sofr@2026-07-23</t>
        </is>
      </c>
    </row>
    <row r="41">
      <c r="A41" t="inlineStr">
        <is>
          <t>T this period</t>
        </is>
      </c>
      <c r="B41" t="inlineStr">
        <is>
          <t>7 (SoM) → 7 (EoM)</t>
        </is>
      </c>
    </row>
    <row r="42">
      <c r="A42" s="11" t="inlineStr">
        <is>
          <t>Formula</t>
        </is>
      </c>
      <c r="B42" t="inlineStr">
        <is>
          <t>subsidised_apr = ref_rate + (base_apr − ref_rate) × min(T, 24) / 24, applied to first cap_usd of utilized; excess at full base_apr</t>
        </is>
      </c>
    </row>
    <row r="44">
      <c r="A44" s="11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2111592.75</v>
      </c>
      <c r="J4" s="5" t="n">
        <v>2111592.75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2507613.294032158</v>
      </c>
      <c r="J5" s="5" t="n">
        <v>2507613.294032158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570646.7643450183</v>
      </c>
      <c r="J6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2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T (months)</t>
        </is>
      </c>
      <c r="L5" s="2" t="inlineStr">
        <is>
          <t>ref_rate APR</t>
        </is>
      </c>
      <c r="M5" s="2" t="inlineStr">
        <is>
          <t>sub APR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2026-08-01</t>
        </is>
      </c>
      <c r="B6" s="5" t="n">
        <v>2793199823.952939</v>
      </c>
      <c r="C6" s="5" t="n">
        <v>0</v>
      </c>
      <c r="D6" s="5" t="n">
        <v>0</v>
      </c>
      <c r="E6" s="5" t="n">
        <v>1571701242.008608</v>
      </c>
      <c r="F6" s="5" t="n">
        <v>0</v>
      </c>
      <c r="G6" s="5" t="n">
        <v>0</v>
      </c>
      <c r="H6" s="5" t="n">
        <v>1221498581.944331</v>
      </c>
      <c r="I6" s="6" t="n">
        <v>0.03519999850777533</v>
      </c>
      <c r="J6" s="6" t="n">
        <v>0.03664455749990904</v>
      </c>
      <c r="K6" t="n">
        <v>7</v>
      </c>
      <c r="L6" s="6" t="n">
        <v>0.0366</v>
      </c>
      <c r="M6" s="6" t="n">
        <v>0.03661299593747347</v>
      </c>
      <c r="N6" s="3" t="n">
        <v>122547.1601635091</v>
      </c>
      <c r="O6" s="3" t="n">
        <v>280339.7534113526</v>
      </c>
    </row>
    <row r="7">
      <c r="A7" t="inlineStr">
        <is>
          <t>2026-08-02</t>
        </is>
      </c>
      <c r="B7" s="5" t="n">
        <v>2793199823.952939</v>
      </c>
      <c r="C7" s="5" t="n">
        <v>0</v>
      </c>
      <c r="D7" s="5" t="n">
        <v>0</v>
      </c>
      <c r="E7" s="5" t="n">
        <v>1571701242.008608</v>
      </c>
      <c r="F7" s="5" t="n">
        <v>0</v>
      </c>
      <c r="G7" s="5" t="n">
        <v>0</v>
      </c>
      <c r="H7" s="5" t="n">
        <v>1221498581.944331</v>
      </c>
      <c r="I7" s="6" t="n">
        <v>0.03519999850777533</v>
      </c>
      <c r="J7" s="6" t="n">
        <v>0.03664455749990904</v>
      </c>
      <c r="K7" t="n">
        <v>7</v>
      </c>
      <c r="L7" s="6" t="n">
        <v>0.0366</v>
      </c>
      <c r="M7" s="6" t="n">
        <v>0.03661299593747347</v>
      </c>
      <c r="N7" s="3" t="n">
        <v>122547.1601635091</v>
      </c>
      <c r="O7" s="3" t="n">
        <v>280339.7534113526</v>
      </c>
    </row>
    <row r="8">
      <c r="A8" t="inlineStr">
        <is>
          <t>2026-08-03</t>
        </is>
      </c>
      <c r="B8" s="5" t="n">
        <v>2793199823.952939</v>
      </c>
      <c r="C8" s="5" t="n">
        <v>0</v>
      </c>
      <c r="D8" s="5" t="n">
        <v>0</v>
      </c>
      <c r="E8" s="5" t="n">
        <v>1572139623.075167</v>
      </c>
      <c r="F8" s="5" t="n">
        <v>0</v>
      </c>
      <c r="G8" s="5" t="n">
        <v>0</v>
      </c>
      <c r="H8" s="5" t="n">
        <v>1221060200.877772</v>
      </c>
      <c r="I8" s="6" t="n">
        <v>0.03519999850777533</v>
      </c>
      <c r="J8" s="6" t="n">
        <v>0.03664455749990904</v>
      </c>
      <c r="K8" t="n">
        <v>7</v>
      </c>
      <c r="L8" s="6" t="n">
        <v>0.0365</v>
      </c>
      <c r="M8" s="6" t="n">
        <v>0.03654216260414014</v>
      </c>
      <c r="N8" s="3" t="n">
        <v>122309.0845099921</v>
      </c>
      <c r="O8" s="3" t="n">
        <v>280145.689484412</v>
      </c>
    </row>
    <row r="9">
      <c r="A9" t="inlineStr">
        <is>
          <t>2026-08-04</t>
        </is>
      </c>
      <c r="B9" s="5" t="n">
        <v>2793199823.952939</v>
      </c>
      <c r="C9" s="5" t="n">
        <v>0</v>
      </c>
      <c r="D9" s="5" t="n">
        <v>0</v>
      </c>
      <c r="E9" s="5" t="n">
        <v>1572275868.341309</v>
      </c>
      <c r="F9" s="5" t="n">
        <v>0</v>
      </c>
      <c r="G9" s="5" t="n">
        <v>0</v>
      </c>
      <c r="H9" s="5" t="n">
        <v>1220923955.61163</v>
      </c>
      <c r="I9" s="6" t="n">
        <v>0.03519999850777533</v>
      </c>
      <c r="J9" s="6" t="n">
        <v>0.03664455749990904</v>
      </c>
      <c r="K9" t="n">
        <v>7</v>
      </c>
      <c r="L9" s="6" t="n">
        <v>0.0366</v>
      </c>
      <c r="M9" s="6" t="n">
        <v>0.03661299593747347</v>
      </c>
      <c r="N9" s="3" t="n">
        <v>122489.4699506608</v>
      </c>
      <c r="O9" s="3" t="n">
        <v>280339.7534113526</v>
      </c>
    </row>
    <row r="10">
      <c r="A10" t="inlineStr">
        <is>
          <t>2026-08-05</t>
        </is>
      </c>
      <c r="B10" s="5" t="n">
        <v>2803199823.952939</v>
      </c>
      <c r="C10" s="5" t="n">
        <v>0</v>
      </c>
      <c r="D10" s="5" t="n">
        <v>0</v>
      </c>
      <c r="E10" s="5" t="n">
        <v>1572451464.698448</v>
      </c>
      <c r="F10" s="5" t="n">
        <v>0</v>
      </c>
      <c r="G10" s="5" t="n">
        <v>0</v>
      </c>
      <c r="H10" s="5" t="n">
        <v>1230748359.254491</v>
      </c>
      <c r="I10" s="6" t="n">
        <v>0.03519999850777533</v>
      </c>
      <c r="J10" s="6" t="n">
        <v>0.03664455749990904</v>
      </c>
      <c r="K10" t="n">
        <v>7</v>
      </c>
      <c r="L10" s="6" t="n">
        <v>0.0364</v>
      </c>
      <c r="M10" s="6" t="n">
        <v>0.0364713292708068</v>
      </c>
      <c r="N10" s="3" t="n">
        <v>123087.6733959389</v>
      </c>
      <c r="O10" s="3" t="n">
        <v>280955.5860369209</v>
      </c>
    </row>
    <row r="11">
      <c r="A11" t="inlineStr">
        <is>
          <t>2026-08-06</t>
        </is>
      </c>
      <c r="B11" s="5" t="n">
        <v>2806199823.952939</v>
      </c>
      <c r="C11" s="5" t="n">
        <v>0</v>
      </c>
      <c r="D11" s="5" t="n">
        <v>0</v>
      </c>
      <c r="E11" s="5" t="n">
        <v>1572603447.083875</v>
      </c>
      <c r="F11" s="5" t="n">
        <v>0</v>
      </c>
      <c r="G11" s="5" t="n">
        <v>0</v>
      </c>
      <c r="H11" s="5" t="n">
        <v>1233596376.869064</v>
      </c>
      <c r="I11" s="6" t="n">
        <v>0.03519999850777533</v>
      </c>
      <c r="J11" s="6" t="n">
        <v>0.03664455749990904</v>
      </c>
      <c r="K11" t="n">
        <v>7</v>
      </c>
      <c r="L11" s="6" t="n">
        <v>0.0365</v>
      </c>
      <c r="M11" s="6" t="n">
        <v>0.03654216260414014</v>
      </c>
      <c r="N11" s="3" t="n">
        <v>123567.6670358602</v>
      </c>
      <c r="O11" s="3" t="n">
        <v>281450.8381076964</v>
      </c>
    </row>
    <row r="12">
      <c r="A12" t="inlineStr">
        <is>
          <t>2026-08-07</t>
        </is>
      </c>
      <c r="B12" s="5" t="n">
        <v>2806699823.952939</v>
      </c>
      <c r="C12" s="5" t="n">
        <v>0</v>
      </c>
      <c r="D12" s="5" t="n">
        <v>0</v>
      </c>
      <c r="E12" s="5" t="n">
        <v>1572742798.986845</v>
      </c>
      <c r="F12" s="5" t="n">
        <v>0</v>
      </c>
      <c r="G12" s="5" t="n">
        <v>0</v>
      </c>
      <c r="H12" s="5" t="n">
        <v>1233957024.966094</v>
      </c>
      <c r="I12" s="6" t="n">
        <v>0.03519999850777533</v>
      </c>
      <c r="J12" s="6" t="n">
        <v>0.03664455749990904</v>
      </c>
      <c r="K12" t="n">
        <v>7</v>
      </c>
      <c r="L12" s="6" t="n">
        <v>0.0362</v>
      </c>
      <c r="M12" s="6" t="n">
        <v>0.03632966260414013</v>
      </c>
      <c r="N12" s="3" t="n">
        <v>123021.682898679</v>
      </c>
      <c r="O12" s="3" t="n">
        <v>280918.8443508469</v>
      </c>
    </row>
    <row r="13">
      <c r="A13" t="inlineStr">
        <is>
          <t>2026-08-08</t>
        </is>
      </c>
      <c r="B13" s="5" t="n">
        <v>2799200028.376339</v>
      </c>
      <c r="C13" s="5" t="n">
        <v>0</v>
      </c>
      <c r="D13" s="5" t="n">
        <v>0</v>
      </c>
      <c r="E13" s="5" t="n">
        <v>1572742798.986845</v>
      </c>
      <c r="F13" s="5" t="n">
        <v>0</v>
      </c>
      <c r="G13" s="5" t="n">
        <v>0</v>
      </c>
      <c r="H13" s="5" t="n">
        <v>1226457229.389494</v>
      </c>
      <c r="I13" s="6" t="n">
        <v>0.03519999850777533</v>
      </c>
      <c r="J13" s="6" t="n">
        <v>0.03664455749990904</v>
      </c>
      <c r="K13" t="n">
        <v>7</v>
      </c>
      <c r="L13" s="6" t="n">
        <v>0.0362</v>
      </c>
      <c r="M13" s="6" t="n">
        <v>0.03632966260414013</v>
      </c>
      <c r="N13" s="3" t="n">
        <v>122268.7330623933</v>
      </c>
      <c r="O13" s="3" t="n">
        <v>280165.8945145613</v>
      </c>
    </row>
    <row r="14">
      <c r="A14" t="inlineStr">
        <is>
          <t>2026-08-09</t>
        </is>
      </c>
      <c r="B14" s="5" t="n">
        <v>2799200028.376339</v>
      </c>
      <c r="C14" s="5" t="n">
        <v>0</v>
      </c>
      <c r="D14" s="5" t="n">
        <v>0</v>
      </c>
      <c r="E14" s="5" t="n">
        <v>1572742798.986845</v>
      </c>
      <c r="F14" s="5" t="n">
        <v>0</v>
      </c>
      <c r="G14" s="5" t="n">
        <v>0</v>
      </c>
      <c r="H14" s="5" t="n">
        <v>1226457229.389494</v>
      </c>
      <c r="I14" s="6" t="n">
        <v>0.03519999850777533</v>
      </c>
      <c r="J14" s="6" t="n">
        <v>0.03664455749990904</v>
      </c>
      <c r="K14" t="n">
        <v>7</v>
      </c>
      <c r="L14" s="6" t="n">
        <v>0.0362</v>
      </c>
      <c r="M14" s="6" t="n">
        <v>0.03632966260414013</v>
      </c>
      <c r="N14" s="3" t="n">
        <v>122268.7330623933</v>
      </c>
      <c r="O14" s="3" t="n">
        <v>280165.8945145613</v>
      </c>
    </row>
    <row r="15">
      <c r="A15" t="inlineStr">
        <is>
          <t>2026-08-10</t>
        </is>
      </c>
      <c r="B15" s="5" t="n">
        <v>2777009373.78026</v>
      </c>
      <c r="C15" s="5" t="n">
        <v>0</v>
      </c>
      <c r="D15" s="5" t="n">
        <v>0</v>
      </c>
      <c r="E15" s="5" t="n">
        <v>1573219431.111594</v>
      </c>
      <c r="F15" s="5" t="n">
        <v>0</v>
      </c>
      <c r="G15" s="5" t="n">
        <v>0</v>
      </c>
      <c r="H15" s="5" t="n">
        <v>1203789942.668666</v>
      </c>
      <c r="I15" s="6" t="n">
        <v>0.03519999850777533</v>
      </c>
      <c r="J15" s="6" t="n">
        <v>0.03664455749990904</v>
      </c>
      <c r="K15" t="n">
        <v>7</v>
      </c>
      <c r="L15" s="6" t="n">
        <v>0.0363</v>
      </c>
      <c r="M15" s="6" t="n">
        <v>0.03640049593747347</v>
      </c>
      <c r="N15" s="3" t="n">
        <v>120187.0909849275</v>
      </c>
      <c r="O15" s="3" t="n">
        <v>278132.104418744</v>
      </c>
    </row>
    <row r="16">
      <c r="A16" t="inlineStr">
        <is>
          <t>2026-08-11</t>
        </is>
      </c>
      <c r="B16" s="5" t="n">
        <v>2774259631.793688</v>
      </c>
      <c r="C16" s="5" t="n">
        <v>0</v>
      </c>
      <c r="D16" s="5" t="n">
        <v>0</v>
      </c>
      <c r="E16" s="5" t="n">
        <v>1573353918.458873</v>
      </c>
      <c r="F16" s="5" t="n">
        <v>0</v>
      </c>
      <c r="G16" s="5" t="n">
        <v>0</v>
      </c>
      <c r="H16" s="5" t="n">
        <v>1200905713.334815</v>
      </c>
      <c r="I16" s="6" t="n">
        <v>0.03519999850777533</v>
      </c>
      <c r="J16" s="6" t="n">
        <v>0.03664455749990904</v>
      </c>
      <c r="K16" t="n">
        <v>7</v>
      </c>
      <c r="L16" s="6" t="n">
        <v>0.0364</v>
      </c>
      <c r="M16" s="6" t="n">
        <v>0.0364713292708068</v>
      </c>
      <c r="N16" s="3" t="n">
        <v>120091.5896853826</v>
      </c>
      <c r="O16" s="3" t="n">
        <v>278050.1051173645</v>
      </c>
    </row>
    <row r="17">
      <c r="A17" t="inlineStr">
        <is>
          <t>2026-08-12</t>
        </is>
      </c>
      <c r="B17" s="5" t="n">
        <v>2773259631.793688</v>
      </c>
      <c r="C17" s="5" t="n">
        <v>0</v>
      </c>
      <c r="D17" s="5" t="n">
        <v>0</v>
      </c>
      <c r="E17" s="5" t="n">
        <v>1573509860.35748</v>
      </c>
      <c r="F17" s="5" t="n">
        <v>0</v>
      </c>
      <c r="G17" s="5" t="n">
        <v>0</v>
      </c>
      <c r="H17" s="5" t="n">
        <v>1199749771.436208</v>
      </c>
      <c r="I17" s="6" t="n">
        <v>0.03519999850777533</v>
      </c>
      <c r="J17" s="6" t="n">
        <v>0.03664455749990904</v>
      </c>
      <c r="K17" t="n">
        <v>7</v>
      </c>
      <c r="L17" s="6" t="n">
        <v>0.0362</v>
      </c>
      <c r="M17" s="6" t="n">
        <v>0.03632966260414013</v>
      </c>
      <c r="N17" s="3" t="n">
        <v>119587.4098332273</v>
      </c>
      <c r="O17" s="3" t="n">
        <v>277561.5812155383</v>
      </c>
    </row>
    <row r="18">
      <c r="A18" t="inlineStr">
        <is>
          <t>2026-08-13</t>
        </is>
      </c>
      <c r="B18" s="5" t="n">
        <v>2768991187.291303</v>
      </c>
      <c r="C18" s="5" t="n">
        <v>0</v>
      </c>
      <c r="D18" s="5" t="n">
        <v>0</v>
      </c>
      <c r="E18" s="5" t="n">
        <v>1573688219.549295</v>
      </c>
      <c r="F18" s="5" t="n">
        <v>0</v>
      </c>
      <c r="G18" s="5" t="n">
        <v>0</v>
      </c>
      <c r="H18" s="5" t="n">
        <v>1195302967.742008</v>
      </c>
      <c r="I18" s="6" t="n">
        <v>0.03519999850777533</v>
      </c>
      <c r="J18" s="6" t="n">
        <v>0.03664455749990904</v>
      </c>
      <c r="K18" t="n">
        <v>7</v>
      </c>
      <c r="L18" s="6" t="n">
        <v>0.0362</v>
      </c>
      <c r="M18" s="6" t="n">
        <v>0.03632966260414013</v>
      </c>
      <c r="N18" s="3" t="n">
        <v>119140.9683163426</v>
      </c>
      <c r="O18" s="3" t="n">
        <v>277133.0462566264</v>
      </c>
    </row>
    <row r="19">
      <c r="A19" t="inlineStr">
        <is>
          <t>2026-08-14</t>
        </is>
      </c>
      <c r="B19" s="5" t="n">
        <v>2762966938.198829</v>
      </c>
      <c r="C19" s="5" t="n">
        <v>0</v>
      </c>
      <c r="D19" s="5" t="n">
        <v>0</v>
      </c>
      <c r="E19" s="5" t="n">
        <v>1573843111.136248</v>
      </c>
      <c r="F19" s="5" t="n">
        <v>0</v>
      </c>
      <c r="G19" s="5" t="n">
        <v>0</v>
      </c>
      <c r="H19" s="5" t="n">
        <v>1189123827.062581</v>
      </c>
      <c r="I19" s="6" t="n">
        <v>0.03519999850777533</v>
      </c>
      <c r="J19" s="6" t="n">
        <v>0.03664455749990904</v>
      </c>
      <c r="K19" t="n">
        <v>7</v>
      </c>
      <c r="L19" s="6" t="n">
        <v>0.0362</v>
      </c>
      <c r="M19" s="6" t="n">
        <v>0.03632966260414013</v>
      </c>
      <c r="N19" s="3" t="n">
        <v>118520.6070124322</v>
      </c>
      <c r="O19" s="3" t="n">
        <v>276528.235455906</v>
      </c>
    </row>
    <row r="20">
      <c r="A20" t="inlineStr">
        <is>
          <t>2026-08-15</t>
        </is>
      </c>
      <c r="B20" s="5" t="n">
        <v>2762966938.198829</v>
      </c>
      <c r="C20" s="5" t="n">
        <v>0</v>
      </c>
      <c r="D20" s="5" t="n">
        <v>0</v>
      </c>
      <c r="E20" s="5" t="n">
        <v>1573843111.136248</v>
      </c>
      <c r="F20" s="5" t="n">
        <v>0</v>
      </c>
      <c r="G20" s="5" t="n">
        <v>0</v>
      </c>
      <c r="H20" s="5" t="n">
        <v>1189123827.062581</v>
      </c>
      <c r="I20" s="6" t="n">
        <v>0.03519999850777533</v>
      </c>
      <c r="J20" s="6" t="n">
        <v>0.03664455749990904</v>
      </c>
      <c r="K20" t="n">
        <v>7</v>
      </c>
      <c r="L20" s="6" t="n">
        <v>0.0362</v>
      </c>
      <c r="M20" s="6" t="n">
        <v>0.03632966260414013</v>
      </c>
      <c r="N20" s="3" t="n">
        <v>118520.6070124322</v>
      </c>
      <c r="O20" s="3" t="n">
        <v>276528.235455906</v>
      </c>
    </row>
    <row r="21">
      <c r="A21" t="inlineStr">
        <is>
          <t>2026-08-16</t>
        </is>
      </c>
      <c r="B21" s="5" t="n">
        <v>2762966938.198829</v>
      </c>
      <c r="C21" s="5" t="n">
        <v>0</v>
      </c>
      <c r="D21" s="5" t="n">
        <v>0</v>
      </c>
      <c r="E21" s="5" t="n">
        <v>1573843111.136248</v>
      </c>
      <c r="F21" s="5" t="n">
        <v>0</v>
      </c>
      <c r="G21" s="5" t="n">
        <v>0</v>
      </c>
      <c r="H21" s="5" t="n">
        <v>1189123827.062581</v>
      </c>
      <c r="I21" s="6" t="n">
        <v>0.03519999850777533</v>
      </c>
      <c r="J21" s="6" t="n">
        <v>0.03664455749990904</v>
      </c>
      <c r="K21" t="n">
        <v>7</v>
      </c>
      <c r="L21" s="6" t="n">
        <v>0.0362</v>
      </c>
      <c r="M21" s="6" t="n">
        <v>0.03632966260414013</v>
      </c>
      <c r="N21" s="3" t="n">
        <v>118520.6070124322</v>
      </c>
      <c r="O21" s="3" t="n">
        <v>276528.235455906</v>
      </c>
    </row>
    <row r="22">
      <c r="A22" t="inlineStr">
        <is>
          <t>2026-08-17</t>
        </is>
      </c>
      <c r="B22" s="5" t="n">
        <v>2768672626.823335</v>
      </c>
      <c r="C22" s="5" t="n">
        <v>0</v>
      </c>
      <c r="D22" s="5" t="n">
        <v>0</v>
      </c>
      <c r="E22" s="5" t="n">
        <v>1574289072.677694</v>
      </c>
      <c r="F22" s="5" t="n">
        <v>0</v>
      </c>
      <c r="G22" s="5" t="n">
        <v>0</v>
      </c>
      <c r="H22" s="5" t="n">
        <v>1194383554.145641</v>
      </c>
      <c r="I22" s="6" t="n">
        <v>0.03519999850777533</v>
      </c>
      <c r="J22" s="6" t="n">
        <v>0.03664455749990904</v>
      </c>
      <c r="K22" t="n">
        <v>7</v>
      </c>
      <c r="L22" s="6" t="n">
        <v>0.0366</v>
      </c>
      <c r="M22" s="6" t="n">
        <v>0.03661299593747347</v>
      </c>
      <c r="N22" s="3" t="n">
        <v>119824.918532603</v>
      </c>
      <c r="O22" s="3" t="n">
        <v>277877.3197523735</v>
      </c>
    </row>
    <row r="23">
      <c r="A23" t="inlineStr">
        <is>
          <t>2026-08-18</t>
        </is>
      </c>
      <c r="B23" s="5" t="n">
        <v>2771951834.485068</v>
      </c>
      <c r="C23" s="5" t="n">
        <v>0</v>
      </c>
      <c r="D23" s="5" t="n">
        <v>0</v>
      </c>
      <c r="E23" s="5" t="n">
        <v>1574436926.271437</v>
      </c>
      <c r="F23" s="5" t="n">
        <v>0</v>
      </c>
      <c r="G23" s="5" t="n">
        <v>0</v>
      </c>
      <c r="H23" s="5" t="n">
        <v>1197514908.213631</v>
      </c>
      <c r="I23" s="6" t="n">
        <v>0.03519999850777533</v>
      </c>
      <c r="J23" s="6" t="n">
        <v>0.03664455749990904</v>
      </c>
      <c r="K23" t="n">
        <v>7</v>
      </c>
      <c r="L23" s="6" t="n">
        <v>0.0365</v>
      </c>
      <c r="M23" s="6" t="n">
        <v>0.03654216260414014</v>
      </c>
      <c r="N23" s="3" t="n">
        <v>119945.2301788049</v>
      </c>
      <c r="O23" s="3" t="n">
        <v>278012.4753150617</v>
      </c>
    </row>
    <row r="24">
      <c r="A24" t="inlineStr">
        <is>
          <t>2026-08-19</t>
        </is>
      </c>
      <c r="B24" s="5" t="n">
        <v>2775952094.96398</v>
      </c>
      <c r="C24" s="5" t="n">
        <v>0</v>
      </c>
      <c r="D24" s="5" t="n">
        <v>0</v>
      </c>
      <c r="E24" s="5" t="n">
        <v>1574594603.520959</v>
      </c>
      <c r="F24" s="5" t="n">
        <v>0</v>
      </c>
      <c r="G24" s="5" t="n">
        <v>0</v>
      </c>
      <c r="H24" s="5" t="n">
        <v>1201357491.443021</v>
      </c>
      <c r="I24" s="6" t="n">
        <v>0.03519999850777533</v>
      </c>
      <c r="J24" s="6" t="n">
        <v>0.03664455749990904</v>
      </c>
      <c r="K24" t="n">
        <v>7</v>
      </c>
      <c r="L24" s="6" t="n">
        <v>0.0362</v>
      </c>
      <c r="M24" s="6" t="n">
        <v>0.03632966260414013</v>
      </c>
      <c r="N24" s="3" t="n">
        <v>119748.8185681133</v>
      </c>
      <c r="O24" s="3" t="n">
        <v>277831.8938770729</v>
      </c>
    </row>
    <row r="25">
      <c r="A25" t="inlineStr">
        <is>
          <t>2026-08-20</t>
        </is>
      </c>
      <c r="B25" s="5" t="n">
        <v>2757298252.642874</v>
      </c>
      <c r="C25" s="5" t="n">
        <v>0</v>
      </c>
      <c r="D25" s="5" t="n">
        <v>0</v>
      </c>
      <c r="E25" s="5" t="n">
        <v>1574753809.550024</v>
      </c>
      <c r="F25" s="5" t="n">
        <v>0</v>
      </c>
      <c r="G25" s="5" t="n">
        <v>0</v>
      </c>
      <c r="H25" s="5" t="n">
        <v>1182544443.09285</v>
      </c>
      <c r="I25" s="6" t="n">
        <v>0.03519999850777533</v>
      </c>
      <c r="J25" s="6" t="n">
        <v>0.03664455749990904</v>
      </c>
      <c r="K25" t="n">
        <v>7</v>
      </c>
      <c r="L25" s="6" t="n">
        <v>0.0363</v>
      </c>
      <c r="M25" s="6" t="n">
        <v>0.03640049593747347</v>
      </c>
      <c r="N25" s="3" t="n">
        <v>118054.1267908994</v>
      </c>
      <c r="O25" s="3" t="n">
        <v>276153.1857559861</v>
      </c>
    </row>
    <row r="26">
      <c r="A26" t="inlineStr">
        <is>
          <t>2026-08-21</t>
        </is>
      </c>
      <c r="B26" s="5" t="n">
        <v>2754973285.986086</v>
      </c>
      <c r="C26" s="5" t="n">
        <v>0</v>
      </c>
      <c r="D26" s="5" t="n">
        <v>0</v>
      </c>
      <c r="E26" s="5" t="n">
        <v>1574907026.254572</v>
      </c>
      <c r="F26" s="5" t="n">
        <v>0</v>
      </c>
      <c r="G26" s="5" t="n">
        <v>0</v>
      </c>
      <c r="H26" s="5" t="n">
        <v>1180066259.731514</v>
      </c>
      <c r="I26" s="6" t="n">
        <v>0.03519999850777533</v>
      </c>
      <c r="J26" s="6" t="n">
        <v>0.03664455749990904</v>
      </c>
      <c r="K26" t="n">
        <v>7</v>
      </c>
      <c r="L26" s="6" t="n">
        <v>0.0365</v>
      </c>
      <c r="M26" s="6" t="n">
        <v>0.03654216260414014</v>
      </c>
      <c r="N26" s="3" t="n">
        <v>118193.4548292196</v>
      </c>
      <c r="O26" s="3" t="n">
        <v>276307.8961459221</v>
      </c>
    </row>
    <row r="27">
      <c r="A27" t="inlineStr">
        <is>
          <t>2026-08-22</t>
        </is>
      </c>
      <c r="B27" s="5" t="n">
        <v>2754973285.986086</v>
      </c>
      <c r="C27" s="5" t="n">
        <v>0</v>
      </c>
      <c r="D27" s="5" t="n">
        <v>0</v>
      </c>
      <c r="E27" s="5" t="n">
        <v>1574907026.254572</v>
      </c>
      <c r="F27" s="5" t="n">
        <v>0</v>
      </c>
      <c r="G27" s="5" t="n">
        <v>0</v>
      </c>
      <c r="H27" s="5" t="n">
        <v>1180066259.731514</v>
      </c>
      <c r="I27" s="6" t="n">
        <v>0.03519999850777533</v>
      </c>
      <c r="J27" s="6" t="n">
        <v>0.03664455749990904</v>
      </c>
      <c r="K27" t="n">
        <v>7</v>
      </c>
      <c r="L27" s="6" t="n">
        <v>0.0365</v>
      </c>
      <c r="M27" s="6" t="n">
        <v>0.03654216260414014</v>
      </c>
      <c r="N27" s="3" t="n">
        <v>118193.4548292196</v>
      </c>
      <c r="O27" s="3" t="n">
        <v>276307.8961459221</v>
      </c>
    </row>
    <row r="28">
      <c r="A28" t="inlineStr">
        <is>
          <t>2026-08-23</t>
        </is>
      </c>
      <c r="B28" s="5" t="n">
        <v>2754973285.986086</v>
      </c>
      <c r="C28" s="5" t="n">
        <v>0</v>
      </c>
      <c r="D28" s="5" t="n">
        <v>0</v>
      </c>
      <c r="E28" s="5" t="n">
        <v>1574907026.254572</v>
      </c>
      <c r="F28" s="5" t="n">
        <v>0</v>
      </c>
      <c r="G28" s="5" t="n">
        <v>0</v>
      </c>
      <c r="H28" s="5" t="n">
        <v>1180066259.731514</v>
      </c>
      <c r="I28" s="6" t="n">
        <v>0.03519999850777533</v>
      </c>
      <c r="J28" s="6" t="n">
        <v>0.03664455749990904</v>
      </c>
      <c r="K28" t="n">
        <v>7</v>
      </c>
      <c r="L28" s="6" t="n">
        <v>0.0365</v>
      </c>
      <c r="M28" s="6" t="n">
        <v>0.03654216260414014</v>
      </c>
      <c r="N28" s="3" t="n">
        <v>118193.4548292196</v>
      </c>
      <c r="O28" s="3" t="n">
        <v>276307.8961459221</v>
      </c>
    </row>
    <row r="29">
      <c r="A29" t="inlineStr">
        <is>
          <t>2026-08-24</t>
        </is>
      </c>
      <c r="B29" s="5" t="n">
        <v>2754973285.986086</v>
      </c>
      <c r="C29" s="5" t="n">
        <v>0</v>
      </c>
      <c r="D29" s="5" t="n">
        <v>0</v>
      </c>
      <c r="E29" s="5" t="n">
        <v>1525352625.965549</v>
      </c>
      <c r="F29" s="5" t="n">
        <v>0</v>
      </c>
      <c r="G29" s="5" t="n">
        <v>0</v>
      </c>
      <c r="H29" s="5" t="n">
        <v>1229620660.020537</v>
      </c>
      <c r="I29" s="6" t="n">
        <v>0.03519999850777533</v>
      </c>
      <c r="J29" s="6" t="n">
        <v>0.03664455749990904</v>
      </c>
      <c r="K29" t="n">
        <v>7</v>
      </c>
      <c r="L29" s="6" t="n">
        <v>0.0365</v>
      </c>
      <c r="M29" s="6" t="n">
        <v>0.03654216260414014</v>
      </c>
      <c r="N29" s="3" t="n">
        <v>123168.5207765199</v>
      </c>
      <c r="O29" s="3" t="n">
        <v>276307.8961459221</v>
      </c>
    </row>
    <row r="30">
      <c r="A30" t="inlineStr">
        <is>
          <t>2026-08-25</t>
        </is>
      </c>
      <c r="B30" s="5" t="n">
        <v>2704998286.356368</v>
      </c>
      <c r="C30" s="5" t="n">
        <v>0</v>
      </c>
      <c r="D30" s="5" t="n">
        <v>0</v>
      </c>
      <c r="E30" s="5" t="n">
        <v>1525495605.014052</v>
      </c>
      <c r="F30" s="5" t="n">
        <v>0</v>
      </c>
      <c r="G30" s="5" t="n">
        <v>0</v>
      </c>
      <c r="H30" s="5" t="n">
        <v>1179502681.342316</v>
      </c>
      <c r="I30" s="6" t="n">
        <v>0.03519999850777533</v>
      </c>
      <c r="J30" s="6" t="n">
        <v>0.03664455749990904</v>
      </c>
      <c r="K30" t="n">
        <v>7</v>
      </c>
      <c r="L30" s="6" t="n">
        <v>0.0366</v>
      </c>
      <c r="M30" s="6" t="n">
        <v>0.03661299593747347</v>
      </c>
      <c r="N30" s="3" t="n">
        <v>118330.9377131776</v>
      </c>
      <c r="O30" s="3" t="n">
        <v>271484.6676139884</v>
      </c>
    </row>
    <row r="31">
      <c r="A31" t="inlineStr">
        <is>
          <t>2026-08-26</t>
        </is>
      </c>
      <c r="B31" s="5" t="n">
        <v>2704998286.356368</v>
      </c>
      <c r="C31" s="5" t="n">
        <v>0</v>
      </c>
      <c r="D31" s="5" t="n">
        <v>0</v>
      </c>
      <c r="E31" s="5" t="n">
        <v>1525560156.414052</v>
      </c>
      <c r="F31" s="5" t="n">
        <v>0</v>
      </c>
      <c r="G31" s="5" t="n">
        <v>0</v>
      </c>
      <c r="H31" s="5" t="n">
        <v>1179438129.942316</v>
      </c>
      <c r="I31" s="6" t="n">
        <v>0.03519999850777533</v>
      </c>
      <c r="J31" s="6" t="n">
        <v>0.03664455749990904</v>
      </c>
      <c r="K31" t="n">
        <v>7</v>
      </c>
      <c r="L31" s="6" t="n">
        <v>0.0364</v>
      </c>
      <c r="M31" s="6" t="n">
        <v>0.0364713292708068</v>
      </c>
      <c r="N31" s="3" t="n">
        <v>117936.329153847</v>
      </c>
      <c r="O31" s="3" t="n">
        <v>271096.5397601071</v>
      </c>
    </row>
    <row r="32">
      <c r="A32" t="inlineStr">
        <is>
          <t>2026-08-27</t>
        </is>
      </c>
      <c r="B32" s="5" t="n">
        <v>2704140418.004609</v>
      </c>
      <c r="C32" s="5" t="n">
        <v>0</v>
      </c>
      <c r="D32" s="5" t="n">
        <v>0</v>
      </c>
      <c r="E32" s="5" t="n">
        <v>1525798030.17422</v>
      </c>
      <c r="F32" s="5" t="n">
        <v>0</v>
      </c>
      <c r="G32" s="5" t="n">
        <v>0</v>
      </c>
      <c r="H32" s="5" t="n">
        <v>1178342387.830389</v>
      </c>
      <c r="I32" s="6" t="n">
        <v>0.03519999850777533</v>
      </c>
      <c r="J32" s="6" t="n">
        <v>0.03664455749990904</v>
      </c>
      <c r="K32" t="n">
        <v>7</v>
      </c>
      <c r="L32" s="6" t="n">
        <v>0.0364</v>
      </c>
      <c r="M32" s="6" t="n">
        <v>0.0364713292708068</v>
      </c>
      <c r="N32" s="3" t="n">
        <v>117826.3209762427</v>
      </c>
      <c r="O32" s="3" t="n">
        <v>271010.4131679335</v>
      </c>
    </row>
    <row r="33">
      <c r="A33" t="inlineStr">
        <is>
          <t>2026-08-28</t>
        </is>
      </c>
      <c r="B33" s="5" t="n">
        <v>2696141255.876834</v>
      </c>
      <c r="C33" s="5" t="n">
        <v>0</v>
      </c>
      <c r="D33" s="5" t="n">
        <v>0</v>
      </c>
      <c r="E33" s="5" t="n">
        <v>1525942076.657618</v>
      </c>
      <c r="F33" s="5" t="n">
        <v>0</v>
      </c>
      <c r="G33" s="5" t="n">
        <v>0</v>
      </c>
      <c r="H33" s="5" t="n">
        <v>1170199179.219216</v>
      </c>
      <c r="I33" s="6" t="n">
        <v>0.03519999850777533</v>
      </c>
      <c r="J33" s="6" t="n">
        <v>0.03664455749990904</v>
      </c>
      <c r="K33" t="n">
        <v>7</v>
      </c>
      <c r="L33" s="6" t="n">
        <v>0.0365</v>
      </c>
      <c r="M33" s="6" t="n">
        <v>0.03654216260414014</v>
      </c>
      <c r="N33" s="3" t="n">
        <v>117202.8389410302</v>
      </c>
      <c r="O33" s="3" t="n">
        <v>270401.3928303745</v>
      </c>
    </row>
    <row r="34">
      <c r="A34" t="inlineStr">
        <is>
          <t>2026-08-29</t>
        </is>
      </c>
      <c r="B34" s="5" t="n">
        <v>2698118765.88549</v>
      </c>
      <c r="C34" s="5" t="n">
        <v>0</v>
      </c>
      <c r="D34" s="5" t="n">
        <v>0</v>
      </c>
      <c r="E34" s="5" t="n">
        <v>1525942076.657618</v>
      </c>
      <c r="F34" s="5" t="n">
        <v>0</v>
      </c>
      <c r="G34" s="5" t="n">
        <v>0</v>
      </c>
      <c r="H34" s="5" t="n">
        <v>1172176689.227872</v>
      </c>
      <c r="I34" s="6" t="n">
        <v>0.03519999850777533</v>
      </c>
      <c r="J34" s="6" t="n">
        <v>0.03664455749990904</v>
      </c>
      <c r="K34" t="n">
        <v>7</v>
      </c>
      <c r="L34" s="6" t="n">
        <v>0.0365</v>
      </c>
      <c r="M34" s="6" t="n">
        <v>0.03654216260414014</v>
      </c>
      <c r="N34" s="3" t="n">
        <v>117401.3731306709</v>
      </c>
      <c r="O34" s="3" t="n">
        <v>270599.9270200152</v>
      </c>
    </row>
    <row r="35">
      <c r="A35" t="inlineStr">
        <is>
          <t>2026-08-30</t>
        </is>
      </c>
      <c r="B35" s="5" t="n">
        <v>2698118765.88549</v>
      </c>
      <c r="C35" s="5" t="n">
        <v>0</v>
      </c>
      <c r="D35" s="5" t="n">
        <v>0</v>
      </c>
      <c r="E35" s="5" t="n">
        <v>1525942076.657618</v>
      </c>
      <c r="F35" s="5" t="n">
        <v>0</v>
      </c>
      <c r="G35" s="5" t="n">
        <v>0</v>
      </c>
      <c r="H35" s="5" t="n">
        <v>1172176689.227872</v>
      </c>
      <c r="I35" s="6" t="n">
        <v>0.03519999850777533</v>
      </c>
      <c r="J35" s="6" t="n">
        <v>0.03664455749990904</v>
      </c>
      <c r="K35" t="n">
        <v>7</v>
      </c>
      <c r="L35" s="6" t="n">
        <v>0.0365</v>
      </c>
      <c r="M35" s="6" t="n">
        <v>0.03654216260414014</v>
      </c>
      <c r="N35" s="3" t="n">
        <v>117401.3731306709</v>
      </c>
      <c r="O35" s="3" t="n">
        <v>270599.9270200152</v>
      </c>
    </row>
    <row r="36">
      <c r="A36" t="inlineStr">
        <is>
          <t>2026-08-31</t>
        </is>
      </c>
      <c r="B36" s="5" t="n">
        <v>2701642082.311047</v>
      </c>
      <c r="C36" s="5" t="n">
        <v>0</v>
      </c>
      <c r="D36" s="5" t="n">
        <v>0</v>
      </c>
      <c r="E36" s="5" t="n">
        <v>1501321449.05264</v>
      </c>
      <c r="F36" s="5" t="n">
        <v>0</v>
      </c>
      <c r="G36" s="5" t="n">
        <v>0</v>
      </c>
      <c r="H36" s="5" t="n">
        <v>1200320633.258407</v>
      </c>
      <c r="I36" s="6" t="n">
        <v>0.03519999850777533</v>
      </c>
      <c r="J36" s="6" t="n">
        <v>0.03664455749990904</v>
      </c>
      <c r="K36" t="n">
        <v>7</v>
      </c>
      <c r="L36" s="6" t="n">
        <v>0.0368</v>
      </c>
      <c r="M36" s="6" t="n">
        <v>0.03664455749990904</v>
      </c>
      <c r="N36" s="3" t="n">
        <v>120507.4478459313</v>
      </c>
      <c r="O36" s="3" t="n">
        <v>271234.1880258113</v>
      </c>
    </row>
    <row r="38">
      <c r="A38" s="7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0" t="n">
        <v>3720604.844326282</v>
      </c>
      <c r="O38" s="10" t="n">
        <v>8576817.065341476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50001000</v>
      </c>
      <c r="G8" s="5" t="n">
        <v>50001000</v>
      </c>
      <c r="H8" s="5" t="n">
        <v>0</v>
      </c>
      <c r="I8" t="inlineStr">
        <is>
          <t>outstanding (no change)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152288.12728</v>
      </c>
      <c r="G11" s="5" t="n">
        <v>152288.12728</v>
      </c>
      <c r="H11" s="5" t="n">
        <v>0</v>
      </c>
      <c r="I11" t="inlineStr">
        <is>
          <t>outstanding (no change)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2026-09-02T01:08:49Z</dcterms:created>
  <dcterms:modified xmlns:dcterms="http://purl.org/dc/terms/" xmlns:xsi="http://www.w3.org/2001/XMLSchema-instance" xsi:type="dcterms:W3CDTF">2026-09-02T01:08:49Z</dcterms:modified>
</cp:coreProperties>
</file>