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3270139.636212674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3276415.162337082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3318297.687595594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6272709.564932599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3318297.687595594</v>
      </c>
    </row>
    <row r="15">
      <c r="A15" t="inlineStr">
        <is>
          <t>reduction from idle/SDE deductions</t>
        </is>
      </c>
      <c r="B15" s="3" t="n">
        <v>-3254914.174321245</v>
      </c>
    </row>
    <row r="16">
      <c r="A16" t="inlineStr"/>
      <c r="B16" s="4" t="n">
        <v>6573211.86191684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3270139.636212674</v>
      </c>
    </row>
    <row r="20">
      <c r="A20" t="inlineStr">
        <is>
          <t>− CoF (deducted per-venue in display)</t>
        </is>
      </c>
      <c r="B20" s="3" t="n">
        <v>-3318297.687595594</v>
      </c>
    </row>
    <row r="21">
      <c r="A21" t="inlineStr"/>
      <c r="B21" s="4" t="n">
        <v>-48158.05138291954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2026-07-31T00:07:04+00:00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666511.7809084547</v>
      </c>
      <c r="O2" s="5" t="n">
        <v>2096381.964298158</v>
      </c>
      <c r="P2" s="5" t="n">
        <v>266787.4029991527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803445.2268238929</v>
      </c>
      <c r="O4" s="5" t="n">
        <v>803445.2268238929</v>
      </c>
      <c r="P4" s="5" t="n">
        <v>241150.8795808683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781215.5532547425</v>
      </c>
      <c r="O5" s="5" t="n">
        <v>781215.5532547425</v>
      </c>
      <c r="P5" s="5" t="n">
        <v>-546215.9866943038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314995.8337719776</v>
      </c>
      <c r="O7" s="5" t="n">
        <v>314995.8337719776</v>
      </c>
      <c r="P7" s="5" t="n">
        <v>301392.0662280224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230201.9040636894</v>
      </c>
      <c r="O8" s="5" t="n">
        <v>230201.9040636894</v>
      </c>
      <c r="P8" s="5" t="n">
        <v>-124482.0315540587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160499.8177953805</v>
      </c>
      <c r="O9" s="5" t="n">
        <v>160499.8177953805</v>
      </c>
      <c r="P9" s="5" t="n">
        <v>-91280.12357993951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157497.9168859888</v>
      </c>
      <c r="O10" s="5" t="n">
        <v>157497.9168859888</v>
      </c>
      <c r="P10" s="5" t="n">
        <v>51638.33311401121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78748.95844299439</v>
      </c>
      <c r="O11" s="5" t="n">
        <v>78748.95844299439</v>
      </c>
      <c r="P11" s="5" t="n">
        <v>-78748.95844299439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78039.77133998081</v>
      </c>
      <c r="O12" s="5" t="n">
        <v>78039.77133998081</v>
      </c>
      <c r="P12" s="5" t="n">
        <v>-76652.59500598082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35640.34161634224</v>
      </c>
      <c r="O13" s="5" t="n">
        <v>35640.34161634224</v>
      </c>
      <c r="P13" s="5" t="n">
        <v>8372.128371657764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10160.88744339252</v>
      </c>
      <c r="O14" s="5" t="n">
        <v>10160.88744339252</v>
      </c>
      <c r="P14" s="5" t="n">
        <v>-120.2697897825169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1320.974344968211</v>
      </c>
      <c r="O15" s="5" t="n">
        <v>1320.974344968211</v>
      </c>
      <c r="P15" s="5" t="n">
        <v>19.8242942175167</v>
      </c>
      <c r="Q15" s="5" t="n">
        <v>0</v>
      </c>
      <c r="R15" s="5" t="n">
        <v>0</v>
      </c>
      <c r="S15" t="inlineStr"/>
    </row>
    <row r="16">
      <c r="A16" t="inlineStr">
        <is>
          <t>E31</t>
        </is>
      </c>
      <c r="B16" t="inlineStr">
        <is>
          <t>AUSD raw (alt holder idle)</t>
        </is>
      </c>
      <c r="C16" t="inlineStr">
        <is>
          <t>ethereum</t>
        </is>
      </c>
      <c r="D16" t="inlineStr">
        <is>
          <t>A</t>
        </is>
      </c>
      <c r="E16" s="5" t="n">
        <v>0.07814599999999999</v>
      </c>
      <c r="F16" s="5" t="n">
        <v>3688.95154</v>
      </c>
      <c r="G16" s="5" t="n">
        <v>3688.873394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3688.95154</v>
      </c>
      <c r="M16" s="6" t="n">
        <v>1</v>
      </c>
      <c r="N16" s="5" t="n">
        <v>11.62004366086721</v>
      </c>
      <c r="O16" s="5" t="n">
        <v>11.62004366086721</v>
      </c>
      <c r="P16" s="5" t="n">
        <v>-11.62004366086721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2254.271126</v>
      </c>
      <c r="M17" s="6" t="n">
        <v>1</v>
      </c>
      <c r="N17" s="5" t="n">
        <v>7.100860128824647</v>
      </c>
      <c r="O17" s="5" t="n">
        <v>7.100860128824647</v>
      </c>
      <c r="P17" s="5" t="n">
        <v>-7.100860128824647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6" t="n">
        <v>1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t="inlineStr"/>
    </row>
    <row r="19">
      <c r="A19" t="inlineStr">
        <is>
          <t>E6</t>
        </is>
      </c>
      <c r="B19" t="inlineStr">
        <is>
          <t>Grove x Steakhouse AUSD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E37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E11</t>
        </is>
      </c>
      <c r="B21" t="inlineStr">
        <is>
          <t>Curve AUSD/USDC stableswap LP</t>
        </is>
      </c>
      <c r="C21" t="inlineStr">
        <is>
          <t>ethereum</t>
        </is>
      </c>
      <c r="D21" t="inlineStr">
        <is>
          <t>F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E13</t>
        </is>
      </c>
      <c r="B22" t="inlineStr">
        <is>
          <t>RLUSD raw (ALM idle)</t>
        </is>
      </c>
      <c r="C22" t="inlineStr">
        <is>
          <t>ethereum</t>
        </is>
      </c>
      <c r="D22" t="inlineStr">
        <is>
          <t>A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E15</t>
        </is>
      </c>
      <c r="B23" t="inlineStr">
        <is>
          <t>USDC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0.03664516129032258</v>
      </c>
    </row>
    <row r="10">
      <c r="A10" t="inlineStr">
        <is>
          <t>Subsidised rate (BR*), period avg</t>
        </is>
      </c>
      <c r="B10" s="6" t="n">
        <v>0.03664516129032258</v>
      </c>
    </row>
    <row r="11">
      <c r="A11" s="7" t="inlineStr">
        <is>
          <t>Effective blended rate charged</t>
        </is>
      </c>
      <c r="B11" s="8" t="n">
        <v>0.03711850878908277</v>
      </c>
    </row>
    <row r="12">
      <c r="A12" s="7" t="inlineStr">
        <is>
          <t>Diff vs base rate (bps)</t>
        </is>
      </c>
      <c r="B12" s="9" t="n">
        <v>-60.01493107377607</v>
      </c>
    </row>
    <row r="13">
      <c r="A13" s="7" t="inlineStr">
        <is>
          <t>Subsidy benefit to prime (USD)</t>
        </is>
      </c>
      <c r="B13" s="10" t="n">
        <v>525512.4653087845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3318297.687595594</v>
      </c>
    </row>
    <row r="17">
      <c r="A17" s="7" t="inlineStr">
        <is>
          <t xml:space="preserve">  = subsidy benefit</t>
        </is>
      </c>
      <c r="B17" s="10" t="n">
        <v>525512.4653087845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3036207.721494491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3318297.687595594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6272709.564932599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6573211.86191684</v>
      </c>
    </row>
    <row r="31">
      <c r="A31" t="inlineStr">
        <is>
          <t xml:space="preserve">    ↳ actual CoF on Net_Subs (BR × utilized)</t>
        </is>
      </c>
      <c r="B31" s="3" t="n">
        <v>3318297.687595594</v>
      </c>
    </row>
    <row r="32">
      <c r="A32" t="inlineStr">
        <is>
          <t xml:space="preserve">    ↳ reduction from idle/SDE deductions</t>
        </is>
      </c>
      <c r="B32" s="3" t="n">
        <v>-3254914.174321245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0.0365</v>
      </c>
      <c r="M7" s="6" t="n">
        <v>0.0365</v>
      </c>
      <c r="N7" s="3" t="n">
        <v>124013.1398739934</v>
      </c>
      <c r="O7" s="3" t="n">
        <v>212251.3926824992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0.0365</v>
      </c>
      <c r="M8" s="6" t="n">
        <v>0.0365</v>
      </c>
      <c r="N8" s="3" t="n">
        <v>124013.1398739934</v>
      </c>
      <c r="O8" s="3" t="n">
        <v>212251.3926824992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0.0365</v>
      </c>
      <c r="M9" s="6" t="n">
        <v>0.0365</v>
      </c>
      <c r="N9" s="3" t="n">
        <v>124008.5865559687</v>
      </c>
      <c r="O9" s="3" t="n">
        <v>212251.3926824992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0.0364</v>
      </c>
      <c r="M10" s="6" t="n">
        <v>0.0364</v>
      </c>
      <c r="N10" s="3" t="n">
        <v>124886.719882834</v>
      </c>
      <c r="O10" s="3" t="n">
        <v>213143.7050173984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0.0363</v>
      </c>
      <c r="M11" s="6" t="n">
        <v>0.0363</v>
      </c>
      <c r="N11" s="3" t="n">
        <v>126526.1778654509</v>
      </c>
      <c r="O11" s="3" t="n">
        <v>214787.8311606654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0.0362</v>
      </c>
      <c r="M12" s="6" t="n">
        <v>0.0362</v>
      </c>
      <c r="N12" s="3" t="n">
        <v>120964.9896907505</v>
      </c>
      <c r="O12" s="3" t="n">
        <v>213858.2109969723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0.0362</v>
      </c>
      <c r="M13" s="6" t="n">
        <v>0.0362</v>
      </c>
      <c r="N13" s="3" t="n">
        <v>123273.8449638237</v>
      </c>
      <c r="O13" s="3" t="n">
        <v>216171.5625272865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0.0362</v>
      </c>
      <c r="M14" s="6" t="n">
        <v>0.0362</v>
      </c>
      <c r="N14" s="3" t="n">
        <v>109382.8818532506</v>
      </c>
      <c r="O14" s="3" t="n">
        <v>204598.7808477748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0.0362</v>
      </c>
      <c r="M15" s="6" t="n">
        <v>0.0362</v>
      </c>
      <c r="N15" s="3" t="n">
        <v>109382.8818532506</v>
      </c>
      <c r="O15" s="3" t="n">
        <v>204598.7808477748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0.0362</v>
      </c>
      <c r="M16" s="6" t="n">
        <v>0.0362</v>
      </c>
      <c r="N16" s="3" t="n">
        <v>109382.8818532506</v>
      </c>
      <c r="O16" s="3" t="n">
        <v>204598.7808477748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0.0368</v>
      </c>
      <c r="M20" s="6" t="n">
        <v>0.0368</v>
      </c>
      <c r="N20" s="3" t="n">
        <v>101136.1043853213</v>
      </c>
      <c r="O20" s="3" t="n">
        <v>210262.31456792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0.037</v>
      </c>
      <c r="M25" s="6" t="n">
        <v>0.037</v>
      </c>
      <c r="N25" s="3" t="n">
        <v>96575.31044899891</v>
      </c>
      <c r="O25" s="3" t="n">
        <v>207567.5514754674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0.037</v>
      </c>
      <c r="M26" s="6" t="n">
        <v>0.037</v>
      </c>
      <c r="N26" s="3" t="n">
        <v>94618.74710986516</v>
      </c>
      <c r="O26" s="3" t="n">
        <v>207613.8185060737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0.0371</v>
      </c>
      <c r="M27" s="6" t="n">
        <v>0.0371</v>
      </c>
      <c r="N27" s="3" t="n">
        <v>98716.89211467199</v>
      </c>
      <c r="O27" s="3" t="n">
        <v>212342.7978574069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0.037</v>
      </c>
      <c r="M28" s="6" t="n">
        <v>0.037</v>
      </c>
      <c r="N28" s="3" t="n">
        <v>98449.6908442709</v>
      </c>
      <c r="O28" s="3" t="n">
        <v>212078.5869595801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0.037</v>
      </c>
      <c r="M29" s="6" t="n">
        <v>0.037</v>
      </c>
      <c r="N29" s="3" t="n">
        <v>96568.12694670679</v>
      </c>
      <c r="O29" s="3" t="n">
        <v>212205.8212937474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0.037</v>
      </c>
      <c r="M30" s="6" t="n">
        <v>0.037</v>
      </c>
      <c r="N30" s="3" t="n">
        <v>96568.12694670679</v>
      </c>
      <c r="O30" s="3" t="n">
        <v>212205.8212937474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0.0368</v>
      </c>
      <c r="M33" s="6" t="n">
        <v>0.0368</v>
      </c>
      <c r="N33" s="3" t="n">
        <v>99395.90470835165</v>
      </c>
      <c r="O33" s="3" t="n">
        <v>217865.5386073321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3318297.687595594</v>
      </c>
      <c r="O38" s="10" t="n">
        <v>6573211.86191684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2026-07-31T00:07:05Z</dcterms:created>
  <dcterms:modified xsi:type="dcterms:W3CDTF">2026-07-31T00:07:05Z</dcterms:modified>
</cp:coreProperties>
</file>