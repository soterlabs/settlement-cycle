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3276508.572267083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3322924.21170079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6277336.089037795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3322924.21170079</v>
      </c>
    </row>
    <row r="15">
      <c r="A15" t="inlineStr">
        <is>
          <t>reduction from idle/SDE deductions</t>
        </is>
      </c>
      <c r="B15" s="3" t="n">
        <v>-3254783.608419782</v>
      </c>
    </row>
    <row r="16">
      <c r="A16" t="inlineStr"/>
      <c r="B16" s="4" t="n">
        <v>6577707.820120571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-3322924.21170079</v>
      </c>
    </row>
    <row r="21">
      <c r="A21" t="inlineStr"/>
      <c r="B21" s="4" t="n">
        <v>-52691.16555811382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2026-06-23T20:30:59+00:00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667436.8266593353</v>
      </c>
      <c r="O2" s="5" t="n">
        <v>2097307.010049039</v>
      </c>
      <c r="P2" s="5" t="n">
        <v>265862.357248272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804560.3212819771</v>
      </c>
      <c r="O4" s="5" t="n">
        <v>804560.3212819771</v>
      </c>
      <c r="P4" s="5" t="n">
        <v>240035.7851227842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782299.7953473206</v>
      </c>
      <c r="O5" s="5" t="n">
        <v>782299.7953473206</v>
      </c>
      <c r="P5" s="5" t="n">
        <v>-547300.228786882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315433.0136777532</v>
      </c>
      <c r="O7" s="5" t="n">
        <v>315433.0136777532</v>
      </c>
      <c r="P7" s="5" t="n">
        <v>300954.8863222468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230521.3992313645</v>
      </c>
      <c r="O8" s="5" t="n">
        <v>230521.3992313645</v>
      </c>
      <c r="P8" s="5" t="n">
        <v>-124801.5267217337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160722.5740597429</v>
      </c>
      <c r="O9" s="5" t="n">
        <v>160722.5740597429</v>
      </c>
      <c r="P9" s="5" t="n">
        <v>-91502.87984430196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157716.5068388766</v>
      </c>
      <c r="O10" s="5" t="n">
        <v>157716.5068388766</v>
      </c>
      <c r="P10" s="5" t="n">
        <v>51419.74316112341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78858.25341943829</v>
      </c>
      <c r="O11" s="5" t="n">
        <v>78858.25341943829</v>
      </c>
      <c r="P11" s="5" t="n">
        <v>-78858.25341943829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78148.08204197524</v>
      </c>
      <c r="O12" s="5" t="n">
        <v>78148.08204197524</v>
      </c>
      <c r="P12" s="5" t="n">
        <v>-76760.90570797524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35689.80652831603</v>
      </c>
      <c r="O13" s="5" t="n">
        <v>35689.80652831603</v>
      </c>
      <c r="P13" s="5" t="n">
        <v>8322.66345968397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10174.98964837061</v>
      </c>
      <c r="O14" s="5" t="n">
        <v>10174.98964837061</v>
      </c>
      <c r="P14" s="5" t="n">
        <v>-134.3719947606131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1322.807713469469</v>
      </c>
      <c r="O15" s="5" t="n">
        <v>1322.807713469469</v>
      </c>
      <c r="P15" s="5" t="n">
        <v>17.99092571625827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21.38301224242928</v>
      </c>
      <c r="O16" s="5" t="n">
        <v>21.38301224242928</v>
      </c>
      <c r="P16" s="5" t="n">
        <v>-21.38301224092928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18.45199410938696</v>
      </c>
      <c r="O17" s="5" t="n">
        <v>18.45199410938696</v>
      </c>
      <c r="P17" s="5" t="n">
        <v>-3613.915458109387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0.000246498282868617</v>
      </c>
      <c r="O18" s="5" t="n">
        <v>0.000246498282868617</v>
      </c>
      <c r="P18" s="5" t="n">
        <v>3688.873147501717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0.0367</v>
      </c>
    </row>
    <row r="10">
      <c r="A10" t="inlineStr">
        <is>
          <t>Subsidised rate (BR*), period avg</t>
        </is>
      </c>
      <c r="B10" s="6" t="n">
        <v>0.0367</v>
      </c>
    </row>
    <row r="11">
      <c r="A11" s="7" t="inlineStr">
        <is>
          <t>Effective blended rate charged</t>
        </is>
      </c>
      <c r="B11" s="8" t="n">
        <v>0.03717115181169214</v>
      </c>
    </row>
    <row r="12">
      <c r="A12" s="7" t="inlineStr">
        <is>
          <t>Diff vs base rate (bps)</t>
        </is>
      </c>
      <c r="B12" s="9" t="n">
        <v>-59.48850084768234</v>
      </c>
    </row>
    <row r="13">
      <c r="A13" s="7" t="inlineStr">
        <is>
          <t>Subsidy benefit to prime (USD)</t>
        </is>
      </c>
      <c r="B13" s="10" t="n">
        <v>520885.9412038832</v>
      </c>
    </row>
    <row r="15">
      <c r="A15" t="inlineStr">
        <is>
          <t>CoF at full base rate (no subsidy)</t>
        </is>
      </c>
      <c r="B15" s="3" t="n">
        <v>3843810.152904673</v>
      </c>
    </row>
    <row r="16">
      <c r="A16" t="inlineStr">
        <is>
          <t xml:space="preserve">  − actual CoF (subsidy on first tranche)</t>
        </is>
      </c>
      <c r="B16" s="3" t="n">
        <v>3322924.21170079</v>
      </c>
    </row>
    <row r="17">
      <c r="A17" s="7" t="inlineStr">
        <is>
          <t xml:space="preserve">  = subsidy benefit</t>
        </is>
      </c>
      <c r="B17" s="10" t="n">
        <v>520885.9412038832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Rate (APY)</t>
        </is>
      </c>
      <c r="D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6" t="n">
        <v>0.0367</v>
      </c>
      <c r="D20" s="3" t="n">
        <v>3040834.245599475</v>
      </c>
    </row>
    <row r="21">
      <c r="A21" t="inlineStr">
        <is>
          <t>Excess (&gt; cap)</t>
        </is>
      </c>
      <c r="B21" s="5" t="n">
        <v>78670934.41355301</v>
      </c>
      <c r="C21" s="6" t="n">
        <v>0.04312000189646037</v>
      </c>
      <c r="D21" s="3" t="n">
        <v>282089.9661011251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3322924.21170079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6277336.089037795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6577707.820120571</v>
      </c>
    </row>
    <row r="31">
      <c r="A31" t="inlineStr">
        <is>
          <t xml:space="preserve">    ↳ actual CoF on Net_Subs (BR × utilized)</t>
        </is>
      </c>
      <c r="B31" s="3" t="n">
        <v>3322924.21170079</v>
      </c>
    </row>
    <row r="32">
      <c r="A32" t="inlineStr">
        <is>
          <t xml:space="preserve">    ↳ reduction from idle/SDE deductions</t>
        </is>
      </c>
      <c r="B32" s="3" t="n">
        <v>-3254783.608419782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0.0367</v>
      </c>
      <c r="M7" s="6" t="n">
        <v>0.0367</v>
      </c>
      <c r="N7" s="3" t="n">
        <v>124541.7904362082</v>
      </c>
      <c r="O7" s="3" t="n">
        <v>212780.043244714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0.0367</v>
      </c>
      <c r="M8" s="6" t="n">
        <v>0.0367</v>
      </c>
      <c r="N8" s="3" t="n">
        <v>124541.7904362082</v>
      </c>
      <c r="O8" s="3" t="n">
        <v>212780.043244714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0.0367</v>
      </c>
      <c r="M9" s="6" t="n">
        <v>0.0367</v>
      </c>
      <c r="N9" s="3" t="n">
        <v>124537.2371181835</v>
      </c>
      <c r="O9" s="3" t="n">
        <v>212780.043244714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0.0367</v>
      </c>
      <c r="M10" s="6" t="n">
        <v>0.0367</v>
      </c>
      <c r="N10" s="3" t="n">
        <v>125679.7338753068</v>
      </c>
      <c r="O10" s="3" t="n">
        <v>213936.7190098711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0.0367</v>
      </c>
      <c r="M11" s="6" t="n">
        <v>0.0367</v>
      </c>
      <c r="N11" s="3" t="n">
        <v>127583.5807271658</v>
      </c>
      <c r="O11" s="3" t="n">
        <v>215845.2340223803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0.0367</v>
      </c>
      <c r="M12" s="6" t="n">
        <v>0.0367</v>
      </c>
      <c r="N12" s="3" t="n">
        <v>122286.8068660209</v>
      </c>
      <c r="O12" s="3" t="n">
        <v>215180.0281722427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0.0367</v>
      </c>
      <c r="M13" s="6" t="n">
        <v>0.0367</v>
      </c>
      <c r="N13" s="3" t="n">
        <v>124595.6621390942</v>
      </c>
      <c r="O13" s="3" t="n">
        <v>217493.3797025569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0.0367</v>
      </c>
      <c r="M14" s="6" t="n">
        <v>0.0367</v>
      </c>
      <c r="N14" s="3" t="n">
        <v>110704.6990285211</v>
      </c>
      <c r="O14" s="3" t="n">
        <v>205920.5980230453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0.0367</v>
      </c>
      <c r="M15" s="6" t="n">
        <v>0.0367</v>
      </c>
      <c r="N15" s="3" t="n">
        <v>110704.6990285211</v>
      </c>
      <c r="O15" s="3" t="n">
        <v>205920.5980230453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0.0367</v>
      </c>
      <c r="M16" s="6" t="n">
        <v>0.0367</v>
      </c>
      <c r="N16" s="3" t="n">
        <v>110704.6990285211</v>
      </c>
      <c r="O16" s="3" t="n">
        <v>205920.5980230453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0.0367</v>
      </c>
      <c r="M20" s="6" t="n">
        <v>0.0367</v>
      </c>
      <c r="N20" s="3" t="n">
        <v>100871.8172433724</v>
      </c>
      <c r="O20" s="3" t="n">
        <v>209998.027425971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206774.7663035127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206821.033334119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211285.8017876254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211285.8017876254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211413.0361217927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211413.0361217927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0.0367</v>
      </c>
      <c r="M33" s="6" t="n">
        <v>0.0367</v>
      </c>
      <c r="N33" s="3" t="n">
        <v>99131.61756640273</v>
      </c>
      <c r="O33" s="3" t="n">
        <v>217601.2514653832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3322924.21170079</v>
      </c>
      <c r="O38" s="10" t="n">
        <v>6577707.820120571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2026-06-23T20:31:00Z</dcterms:created>
  <dcterms:modified xmlns:dcterms="http://purl.org/dc/terms/" xmlns:xsi="http://www.w3.org/2001/XMLSchema-instance" xsi:type="dcterms:W3CDTF">2026-06-23T20:31:00Z</dcterms:modified>
</cp:coreProperties>
</file>