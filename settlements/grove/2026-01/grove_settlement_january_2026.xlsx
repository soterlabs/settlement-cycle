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3270233.046142676</v>
      </c>
    </row>
    <row r="5">
      <c r="A5" t="inlineStr">
        <is>
          <t>+ agent_rate (subproxy USDS / sUSDS yield)</t>
        </is>
      </c>
      <c r="B5" s="3" t="n">
        <v>6275.526124407053</v>
      </c>
    </row>
    <row r="6">
      <c r="A6" t="inlineStr"/>
      <c r="B6" s="4" t="n">
        <v>3276508.572267083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3322924.21170079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6277336.089037795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3322924.21170079</v>
      </c>
    </row>
    <row r="15">
      <c r="A15" t="inlineStr">
        <is>
          <t>reduction from idle/SDE deductions</t>
        </is>
      </c>
      <c r="B15" s="3" t="n">
        <v>-3254783.608419782</v>
      </c>
    </row>
    <row r="16">
      <c r="A16" t="inlineStr"/>
      <c r="B16" s="4" t="n">
        <v>6577707.820120571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3270233.046142676</v>
      </c>
    </row>
    <row r="20">
      <c r="A20" t="inlineStr">
        <is>
          <t>− CoF (deducted per-venue in display)</t>
        </is>
      </c>
      <c r="B20" s="3" t="n">
        <v>-3322924.21170079</v>
      </c>
    </row>
    <row r="21">
      <c r="A21" t="inlineStr"/>
      <c r="B21" s="4" t="n">
        <v>-52691.16555811382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2026-07-08T18:39:34+00:00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667436.8266593353</v>
      </c>
      <c r="O2" s="5" t="n">
        <v>2097307.010049039</v>
      </c>
      <c r="P2" s="5" t="n">
        <v>265862.357248272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804560.3212819771</v>
      </c>
      <c r="O4" s="5" t="n">
        <v>804560.3212819771</v>
      </c>
      <c r="P4" s="5" t="n">
        <v>240035.7851227842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782299.7953473206</v>
      </c>
      <c r="O5" s="5" t="n">
        <v>782299.7953473206</v>
      </c>
      <c r="P5" s="5" t="n">
        <v>-547300.228786882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315433.0136777532</v>
      </c>
      <c r="O7" s="5" t="n">
        <v>315433.0136777532</v>
      </c>
      <c r="P7" s="5" t="n">
        <v>300954.8863222468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230521.3992313645</v>
      </c>
      <c r="O8" s="5" t="n">
        <v>230521.3992313645</v>
      </c>
      <c r="P8" s="5" t="n">
        <v>-124801.5267217337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160722.5740597429</v>
      </c>
      <c r="O9" s="5" t="n">
        <v>160722.5740597429</v>
      </c>
      <c r="P9" s="5" t="n">
        <v>-91502.87984430196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157716.5068388766</v>
      </c>
      <c r="O10" s="5" t="n">
        <v>157716.5068388766</v>
      </c>
      <c r="P10" s="5" t="n">
        <v>51419.74316112341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78858.25341943829</v>
      </c>
      <c r="O11" s="5" t="n">
        <v>78858.25341943829</v>
      </c>
      <c r="P11" s="5" t="n">
        <v>-78858.25341943829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78148.08204197524</v>
      </c>
      <c r="O12" s="5" t="n">
        <v>78148.08204197524</v>
      </c>
      <c r="P12" s="5" t="n">
        <v>-76760.90570797524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35689.80652831603</v>
      </c>
      <c r="O13" s="5" t="n">
        <v>35689.80652831603</v>
      </c>
      <c r="P13" s="5" t="n">
        <v>8322.66345968397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10174.98964837061</v>
      </c>
      <c r="O14" s="5" t="n">
        <v>10174.98964837061</v>
      </c>
      <c r="P14" s="5" t="n">
        <v>-134.3719947606131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1322.807713469469</v>
      </c>
      <c r="O15" s="5" t="n">
        <v>1322.807713469469</v>
      </c>
      <c r="P15" s="5" t="n">
        <v>17.99092571625827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1.5e-09</v>
      </c>
      <c r="I16" s="5" t="n">
        <v>0</v>
      </c>
      <c r="J16" s="5" t="n">
        <v>1.5e-09</v>
      </c>
      <c r="K16" s="5" t="n">
        <v>0</v>
      </c>
      <c r="L16" s="5" t="n">
        <v>6778.939209030984</v>
      </c>
      <c r="M16" s="6" t="n">
        <v>1</v>
      </c>
      <c r="N16" s="5" t="n">
        <v>21.38301224242928</v>
      </c>
      <c r="O16" s="5" t="n">
        <v>21.38301224242928</v>
      </c>
      <c r="P16" s="5" t="n">
        <v>-21.38301224092928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-3595.463464</v>
      </c>
      <c r="I17" s="5" t="n">
        <v>0</v>
      </c>
      <c r="J17" s="5" t="n">
        <v>-3595.463464</v>
      </c>
      <c r="K17" s="5" t="n">
        <v>0</v>
      </c>
      <c r="L17" s="5" t="n">
        <v>5849.73459</v>
      </c>
      <c r="M17" s="6" t="n">
        <v>1</v>
      </c>
      <c r="N17" s="5" t="n">
        <v>18.45199410938696</v>
      </c>
      <c r="O17" s="5" t="n">
        <v>18.45199410938696</v>
      </c>
      <c r="P17" s="5" t="n">
        <v>-3613.915458109387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0.07814599999999999</v>
      </c>
      <c r="F18" s="5" t="n">
        <v>3688.95154</v>
      </c>
      <c r="G18" s="5" t="n">
        <v>3688.873394</v>
      </c>
      <c r="H18" s="5" t="n">
        <v>3688.873394</v>
      </c>
      <c r="I18" s="5" t="n">
        <v>0</v>
      </c>
      <c r="J18" s="5" t="n">
        <v>3688.873394</v>
      </c>
      <c r="K18" s="5" t="n">
        <v>0</v>
      </c>
      <c r="L18" s="5" t="n">
        <v>0.07814599999999999</v>
      </c>
      <c r="M18" s="6" t="n">
        <v>1</v>
      </c>
      <c r="N18" s="5" t="n">
        <v>0.000246498282868617</v>
      </c>
      <c r="O18" s="5" t="n">
        <v>0.000246498282868617</v>
      </c>
      <c r="P18" s="5" t="n">
        <v>3688.873147501717</v>
      </c>
      <c r="Q18" s="5" t="n">
        <v>0</v>
      </c>
      <c r="R18" s="5" t="n">
        <v>0</v>
      </c>
      <c r="S18" t="inlineStr"/>
    </row>
    <row r="19">
      <c r="A19" t="inlineStr">
        <is>
          <t>E4</t>
        </is>
      </c>
      <c r="B19" t="inlineStr">
        <is>
          <t>Grove x Steakhouse USDC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E6</t>
        </is>
      </c>
      <c r="B20" t="inlineStr">
        <is>
          <t>Grove x Steakhouse AUSD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E11</t>
        </is>
      </c>
      <c r="B22" t="inlineStr">
        <is>
          <t>Curve AUSD/USDC stableswap LP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1071984731.030483</v>
      </c>
    </row>
    <row r="6">
      <c r="A6" t="inlineStr">
        <is>
          <t xml:space="preserve">  — first $1B (subsidised tranche)</t>
        </is>
      </c>
      <c r="B6" s="5" t="n">
        <v>993313796.6169302</v>
      </c>
    </row>
    <row r="7">
      <c r="A7" t="inlineStr">
        <is>
          <t xml:space="preserve">  — excess (full base-rate tranche)</t>
        </is>
      </c>
      <c r="B7" s="5" t="n">
        <v>78670934.41355301</v>
      </c>
    </row>
    <row r="8">
      <c r="A8" t="inlineStr">
        <is>
          <t>Base rate (BR = SSR + 30bps), period avg</t>
        </is>
      </c>
      <c r="B8" s="6" t="n">
        <v>0.04312000189646037</v>
      </c>
    </row>
    <row r="9">
      <c r="A9" t="inlineStr">
        <is>
          <t>Reference rate (tbill_3m), period avg</t>
        </is>
      </c>
      <c r="B9" s="6" t="n">
        <v>0.0367</v>
      </c>
    </row>
    <row r="10">
      <c r="A10" t="inlineStr">
        <is>
          <t>Subsidised rate (BR*), period avg</t>
        </is>
      </c>
      <c r="B10" s="6" t="n">
        <v>0.0367</v>
      </c>
    </row>
    <row r="11">
      <c r="A11" s="7" t="inlineStr">
        <is>
          <t>Effective blended rate charged</t>
        </is>
      </c>
      <c r="B11" s="8" t="n">
        <v>0.03717115181169214</v>
      </c>
    </row>
    <row r="12">
      <c r="A12" s="7" t="inlineStr">
        <is>
          <t>Diff vs base rate (bps)</t>
        </is>
      </c>
      <c r="B12" s="9" t="n">
        <v>-59.48850084768234</v>
      </c>
    </row>
    <row r="13">
      <c r="A13" s="7" t="inlineStr">
        <is>
          <t>Subsidy benefit to prime (USD)</t>
        </is>
      </c>
      <c r="B13" s="10" t="n">
        <v>520885.9412035887</v>
      </c>
    </row>
    <row r="15">
      <c r="A15" t="inlineStr">
        <is>
          <t>CoF at full base rate (no subsidy)</t>
        </is>
      </c>
      <c r="B15" s="3" t="n">
        <v>3843810.152904379</v>
      </c>
    </row>
    <row r="16">
      <c r="A16" t="inlineStr">
        <is>
          <t xml:space="preserve">  − actual CoF (subsidy on first tranche)</t>
        </is>
      </c>
      <c r="B16" s="3" t="n">
        <v>3322924.21170079</v>
      </c>
    </row>
    <row r="17">
      <c r="A17" s="7" t="inlineStr">
        <is>
          <t xml:space="preserve">  = subsidy benefit</t>
        </is>
      </c>
      <c r="B17" s="10" t="n">
        <v>520885.9412035887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993313796.6169302</v>
      </c>
      <c r="C20" s="3" t="n">
        <v>3040834.245599687</v>
      </c>
    </row>
    <row r="21">
      <c r="A21" t="inlineStr">
        <is>
          <t>Excess (&gt; cap)</t>
        </is>
      </c>
      <c r="B21" s="5" t="n">
        <v>78670934.41355301</v>
      </c>
      <c r="C21" s="3" t="n">
        <v>282089.9661011035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3322924.21170079</v>
      </c>
    </row>
    <row r="25">
      <c r="A25" t="inlineStr">
        <is>
          <t>+ Sky-Direct revenue (full venue yield on fixed/capped SDE)</t>
        </is>
      </c>
      <c r="B25" s="3" t="n">
        <v>2954411.877337005</v>
      </c>
    </row>
    <row r="26">
      <c r="A26" t="inlineStr">
        <is>
          <t>equals sky_revenue (total Sky take this month)</t>
        </is>
      </c>
      <c r="B26" s="3" t="n">
        <v>6277336.089037795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6577707.820120571</v>
      </c>
    </row>
    <row r="31">
      <c r="A31" t="inlineStr">
        <is>
          <t xml:space="preserve">    ↳ actual CoF on Net_Subs (BR × utilized)</t>
        </is>
      </c>
      <c r="B31" s="3" t="n">
        <v>3322924.21170079</v>
      </c>
    </row>
    <row r="32">
      <c r="A32" t="inlineStr">
        <is>
          <t xml:space="preserve">    ↳ reduction from idle/SDE deductions</t>
        </is>
      </c>
      <c r="B32" s="3" t="n">
        <v>-3254783.608419782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0 (SoM) → 0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0.04000000189078801</v>
      </c>
      <c r="J6" s="6" t="n">
        <v>0.04312000189646037</v>
      </c>
      <c r="K6" t="n">
        <v>0</v>
      </c>
      <c r="L6" s="6" t="n">
        <v>0.0367</v>
      </c>
      <c r="M6" s="6" t="n">
        <v>0.0367</v>
      </c>
      <c r="N6" s="3" t="n">
        <v>124430.276882575</v>
      </c>
      <c r="O6" s="3" t="n">
        <v>212664.3756681983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0.04000000189078801</v>
      </c>
      <c r="J7" s="6" t="n">
        <v>0.04312000189646037</v>
      </c>
      <c r="K7" t="n">
        <v>0</v>
      </c>
      <c r="L7" s="6" t="n">
        <v>0.0367</v>
      </c>
      <c r="M7" s="6" t="n">
        <v>0.0367</v>
      </c>
      <c r="N7" s="3" t="n">
        <v>124541.7904362082</v>
      </c>
      <c r="O7" s="3" t="n">
        <v>212780.043244714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0.04000000189078801</v>
      </c>
      <c r="J8" s="6" t="n">
        <v>0.04312000189646037</v>
      </c>
      <c r="K8" t="n">
        <v>0</v>
      </c>
      <c r="L8" s="6" t="n">
        <v>0.0367</v>
      </c>
      <c r="M8" s="6" t="n">
        <v>0.0367</v>
      </c>
      <c r="N8" s="3" t="n">
        <v>124541.7904362082</v>
      </c>
      <c r="O8" s="3" t="n">
        <v>212780.043244714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0.04000000189078801</v>
      </c>
      <c r="J9" s="6" t="n">
        <v>0.04312000189646037</v>
      </c>
      <c r="K9" t="n">
        <v>0</v>
      </c>
      <c r="L9" s="6" t="n">
        <v>0.0367</v>
      </c>
      <c r="M9" s="6" t="n">
        <v>0.0367</v>
      </c>
      <c r="N9" s="3" t="n">
        <v>124537.2371181835</v>
      </c>
      <c r="O9" s="3" t="n">
        <v>212780.043244714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0.04000000189078801</v>
      </c>
      <c r="J10" s="6" t="n">
        <v>0.04312000189646037</v>
      </c>
      <c r="K10" t="n">
        <v>0</v>
      </c>
      <c r="L10" s="6" t="n">
        <v>0.0367</v>
      </c>
      <c r="M10" s="6" t="n">
        <v>0.0367</v>
      </c>
      <c r="N10" s="3" t="n">
        <v>125679.7338753068</v>
      </c>
      <c r="O10" s="3" t="n">
        <v>213936.7190098711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0.04000000189078801</v>
      </c>
      <c r="J11" s="6" t="n">
        <v>0.04312000189646037</v>
      </c>
      <c r="K11" t="n">
        <v>0</v>
      </c>
      <c r="L11" s="6" t="n">
        <v>0.0367</v>
      </c>
      <c r="M11" s="6" t="n">
        <v>0.0367</v>
      </c>
      <c r="N11" s="3" t="n">
        <v>127583.5807271658</v>
      </c>
      <c r="O11" s="3" t="n">
        <v>215845.2340223803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0.04000000189078801</v>
      </c>
      <c r="J12" s="6" t="n">
        <v>0.04312000189646037</v>
      </c>
      <c r="K12" t="n">
        <v>0</v>
      </c>
      <c r="L12" s="6" t="n">
        <v>0.0367</v>
      </c>
      <c r="M12" s="6" t="n">
        <v>0.0367</v>
      </c>
      <c r="N12" s="3" t="n">
        <v>122286.8068660209</v>
      </c>
      <c r="O12" s="3" t="n">
        <v>215180.0281722427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0.04000000189078801</v>
      </c>
      <c r="J13" s="6" t="n">
        <v>0.04312000189646037</v>
      </c>
      <c r="K13" t="n">
        <v>0</v>
      </c>
      <c r="L13" s="6" t="n">
        <v>0.0367</v>
      </c>
      <c r="M13" s="6" t="n">
        <v>0.0367</v>
      </c>
      <c r="N13" s="3" t="n">
        <v>124595.6621390942</v>
      </c>
      <c r="O13" s="3" t="n">
        <v>217493.3797025569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0.04000000189078801</v>
      </c>
      <c r="J14" s="6" t="n">
        <v>0.04312000189646037</v>
      </c>
      <c r="K14" t="n">
        <v>0</v>
      </c>
      <c r="L14" s="6" t="n">
        <v>0.0367</v>
      </c>
      <c r="M14" s="6" t="n">
        <v>0.0367</v>
      </c>
      <c r="N14" s="3" t="n">
        <v>110704.6990285211</v>
      </c>
      <c r="O14" s="3" t="n">
        <v>205920.5980230453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0.04000000189078801</v>
      </c>
      <c r="J15" s="6" t="n">
        <v>0.04312000189646037</v>
      </c>
      <c r="K15" t="n">
        <v>0</v>
      </c>
      <c r="L15" s="6" t="n">
        <v>0.0367</v>
      </c>
      <c r="M15" s="6" t="n">
        <v>0.0367</v>
      </c>
      <c r="N15" s="3" t="n">
        <v>110704.6990285211</v>
      </c>
      <c r="O15" s="3" t="n">
        <v>205920.5980230453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0.04000000189078801</v>
      </c>
      <c r="J16" s="6" t="n">
        <v>0.04312000189646037</v>
      </c>
      <c r="K16" t="n">
        <v>0</v>
      </c>
      <c r="L16" s="6" t="n">
        <v>0.0367</v>
      </c>
      <c r="M16" s="6" t="n">
        <v>0.0367</v>
      </c>
      <c r="N16" s="3" t="n">
        <v>110704.6990285211</v>
      </c>
      <c r="O16" s="3" t="n">
        <v>205920.5980230453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0.04000000189078801</v>
      </c>
      <c r="J17" s="6" t="n">
        <v>0.04312000189646037</v>
      </c>
      <c r="K17" t="n">
        <v>0</v>
      </c>
      <c r="L17" s="6" t="n">
        <v>0.0367</v>
      </c>
      <c r="M17" s="6" t="n">
        <v>0.0367</v>
      </c>
      <c r="N17" s="3" t="n">
        <v>111846.1179713551</v>
      </c>
      <c r="O17" s="3" t="n">
        <v>209390.6253185166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0.04000000189078801</v>
      </c>
      <c r="J18" s="6" t="n">
        <v>0.04312000189646037</v>
      </c>
      <c r="K18" t="n">
        <v>0</v>
      </c>
      <c r="L18" s="6" t="n">
        <v>0.0367</v>
      </c>
      <c r="M18" s="6" t="n">
        <v>0.0367</v>
      </c>
      <c r="N18" s="3" t="n">
        <v>103717.5387419155</v>
      </c>
      <c r="O18" s="3" t="n">
        <v>208206.8527341588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0.04000000189078801</v>
      </c>
      <c r="J19" s="6" t="n">
        <v>0.04312000189646037</v>
      </c>
      <c r="K19" t="n">
        <v>0</v>
      </c>
      <c r="L19" s="6" t="n">
        <v>0.0367</v>
      </c>
      <c r="M19" s="6" t="n">
        <v>0.0367</v>
      </c>
      <c r="N19" s="3" t="n">
        <v>106662.3894499448</v>
      </c>
      <c r="O19" s="3" t="n">
        <v>211156.3759353094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0.04000000189078801</v>
      </c>
      <c r="J20" s="6" t="n">
        <v>0.04312000189646037</v>
      </c>
      <c r="K20" t="n">
        <v>0</v>
      </c>
      <c r="L20" s="6" t="n">
        <v>0.0367</v>
      </c>
      <c r="M20" s="6" t="n">
        <v>0.0367</v>
      </c>
      <c r="N20" s="3" t="n">
        <v>100871.8172433724</v>
      </c>
      <c r="O20" s="3" t="n">
        <v>209998.027425971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0.04000000189078801</v>
      </c>
      <c r="J21" s="6" t="n">
        <v>0.04312000189646037</v>
      </c>
      <c r="K21" t="n">
        <v>0</v>
      </c>
      <c r="L21" s="6" t="n">
        <v>0.0367</v>
      </c>
      <c r="M21" s="6" t="n">
        <v>0.0367</v>
      </c>
      <c r="N21" s="3" t="n">
        <v>100865.6122288895</v>
      </c>
      <c r="O21" s="3" t="n">
        <v>209998.027425971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0.04000000189078801</v>
      </c>
      <c r="J22" s="6" t="n">
        <v>0.04312000189646037</v>
      </c>
      <c r="K22" t="n">
        <v>0</v>
      </c>
      <c r="L22" s="6" t="n">
        <v>0.0367</v>
      </c>
      <c r="M22" s="6" t="n">
        <v>0.0367</v>
      </c>
      <c r="N22" s="3" t="n">
        <v>100865.6122288895</v>
      </c>
      <c r="O22" s="3" t="n">
        <v>209998.027425971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0.04000000189078801</v>
      </c>
      <c r="J23" s="6" t="n">
        <v>0.04312000189646037</v>
      </c>
      <c r="K23" t="n">
        <v>0</v>
      </c>
      <c r="L23" s="6" t="n">
        <v>0.0367</v>
      </c>
      <c r="M23" s="6" t="n">
        <v>0.0367</v>
      </c>
      <c r="N23" s="3" t="n">
        <v>100865.6122288895</v>
      </c>
      <c r="O23" s="3" t="n">
        <v>209998.027425971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0.04000000189078801</v>
      </c>
      <c r="J24" s="6" t="n">
        <v>0.04312000189646037</v>
      </c>
      <c r="K24" t="n">
        <v>0</v>
      </c>
      <c r="L24" s="6" t="n">
        <v>0.0367</v>
      </c>
      <c r="M24" s="6" t="n">
        <v>0.0367</v>
      </c>
      <c r="N24" s="3" t="n">
        <v>100981.3954729817</v>
      </c>
      <c r="O24" s="3" t="n">
        <v>210113.8106700632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0.04000000189078801</v>
      </c>
      <c r="J25" s="6" t="n">
        <v>0.04312000189646037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206774.7663035127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0.04000000189078801</v>
      </c>
      <c r="J26" s="6" t="n">
        <v>0.04312000189646037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206821.033334119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0.04000000189078801</v>
      </c>
      <c r="J27" s="6" t="n">
        <v>0.04312000189646037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211285.8017876254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0.04000000189078801</v>
      </c>
      <c r="J28" s="6" t="n">
        <v>0.04312000189646037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211285.8017876254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0.04000000189078801</v>
      </c>
      <c r="J29" s="6" t="n">
        <v>0.04312000189646037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211413.0361217927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0.04000000189078801</v>
      </c>
      <c r="J30" s="6" t="n">
        <v>0.04312000189646037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211413.0361217927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0.04000000189078801</v>
      </c>
      <c r="J31" s="6" t="n">
        <v>0.04312000189646037</v>
      </c>
      <c r="K31" t="n">
        <v>0</v>
      </c>
      <c r="L31" s="6" t="n">
        <v>0.0367</v>
      </c>
      <c r="M31" s="6" t="n">
        <v>0.0367</v>
      </c>
      <c r="N31" s="3" t="n">
        <v>99146.30233105208</v>
      </c>
      <c r="O31" s="3" t="n">
        <v>215287.899935069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0.04000000189078801</v>
      </c>
      <c r="J32" s="6" t="n">
        <v>0.04312000189646037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215287.899935069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0.04000000189078801</v>
      </c>
      <c r="J33" s="6" t="n">
        <v>0.04312000189646037</v>
      </c>
      <c r="K33" t="n">
        <v>0</v>
      </c>
      <c r="L33" s="6" t="n">
        <v>0.0367</v>
      </c>
      <c r="M33" s="6" t="n">
        <v>0.0367</v>
      </c>
      <c r="N33" s="3" t="n">
        <v>99131.61756640273</v>
      </c>
      <c r="O33" s="3" t="n">
        <v>217601.2514653832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0.04000000189078801</v>
      </c>
      <c r="J34" s="6" t="n">
        <v>0.04312000189646037</v>
      </c>
      <c r="K34" t="n">
        <v>0</v>
      </c>
      <c r="L34" s="6" t="n">
        <v>0.0367</v>
      </c>
      <c r="M34" s="6" t="n">
        <v>0.0367</v>
      </c>
      <c r="N34" s="3" t="n">
        <v>99362.40226966912</v>
      </c>
      <c r="O34" s="3" t="n">
        <v>220151.9528627076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0.04000000189078801</v>
      </c>
      <c r="J35" s="6" t="n">
        <v>0.04312000189646037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220151.9528627076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0.04000000189078801</v>
      </c>
      <c r="J36" s="6" t="n">
        <v>0.04312000189646037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220151.9528627076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3322924.21170079</v>
      </c>
      <c r="O38" s="10" t="n">
        <v>6577707.820120571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2026-07-08T18:39:36Z</dcterms:created>
  <dcterms:modified xmlns:dcterms="http://purl.org/dc/terms/" xmlns:xsi="http://www.w3.org/2001/XMLSchema-instance" xsi:type="dcterms:W3CDTF">2026-07-08T18:39:36Z</dcterms:modified>
</cp:coreProperties>
</file>