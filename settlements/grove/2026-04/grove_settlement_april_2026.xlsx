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nues" sheetId="2" state="visible" r:id="rId2"/>
    <sheet xmlns:r="http://schemas.openxmlformats.org/officeDocument/2006/relationships" name="Sky Revenue" sheetId="3" state="visible" r:id="rId3"/>
    <sheet xmlns:r="http://schemas.openxmlformats.org/officeDocument/2006/relationships" name="Sky Direct" sheetId="4" state="visible" r:id="rId4"/>
    <sheet xmlns:r="http://schemas.openxmlformats.org/officeDocument/2006/relationships" name="Debt" sheetId="5" state="visible" r:id="rId5"/>
    <sheet xmlns:r="http://schemas.openxmlformats.org/officeDocument/2006/relationships" name="Off-protocol hol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GROVE — Monthly settlement 2026-04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5210896.698222283</v>
      </c>
    </row>
    <row r="5">
      <c r="A5" t="inlineStr">
        <is>
          <t>+ agent_rate (subproxy USDS / sUSDS yield)</t>
        </is>
      </c>
      <c r="B5" s="3" t="n">
        <v>45332.82848777324</v>
      </c>
    </row>
    <row r="6">
      <c r="A6" t="inlineStr"/>
      <c r="B6" s="4" t="n">
        <v>5256229.526710057</v>
      </c>
    </row>
    <row r="8">
      <c r="A8" s="2" t="inlineStr">
        <is>
          <t>Sky side</t>
        </is>
      </c>
      <c r="B8" s="2" t="inlineStr">
        <is>
          <t>USD</t>
        </is>
      </c>
    </row>
    <row r="9">
      <c r="A9" t="inlineStr">
        <is>
          <t>CoF on utilized (BR × Net_Subs)</t>
        </is>
      </c>
      <c r="B9" s="3" t="n">
        <v>2940291.815491744</v>
      </c>
    </row>
    <row r="10">
      <c r="A10" t="inlineStr">
        <is>
          <t>+ SDE revenue (Sky-Direct, full to Sky)</t>
        </is>
      </c>
      <c r="B10" s="3" t="n">
        <v>6395006.500245043</v>
      </c>
    </row>
    <row r="11">
      <c r="A11" t="inlineStr"/>
      <c r="B11" s="4" t="n">
        <v>9335298.315736787</v>
      </c>
    </row>
    <row r="13">
      <c r="A13" s="2" t="inlineStr">
        <is>
          <t>Sky Revenue (max) — BR × full ilk debt, no deductions</t>
        </is>
      </c>
      <c r="B13" s="2" t="inlineStr">
        <is>
          <t>USD</t>
        </is>
      </c>
    </row>
    <row r="14">
      <c r="A14" t="inlineStr">
        <is>
          <t>CoF on Net_Subs (actual BR × utilized)</t>
        </is>
      </c>
      <c r="B14" s="3" t="n">
        <v>2940291.815491744</v>
      </c>
    </row>
    <row r="15">
      <c r="A15" t="inlineStr">
        <is>
          <t>reduction from idle/SDE deductions</t>
        </is>
      </c>
      <c r="B15" s="3" t="n">
        <v>-7396228.168249207</v>
      </c>
    </row>
    <row r="16">
      <c r="A16" t="inlineStr"/>
      <c r="B16" s="4" t="n">
        <v>10336519.98374095</v>
      </c>
    </row>
    <row r="18">
      <c r="A18" s="2" t="inlineStr">
        <is>
          <t>Comparison (Grove-style "Profit to Grove")</t>
        </is>
      </c>
      <c r="B18" s="2" t="inlineStr">
        <is>
          <t>USD</t>
        </is>
      </c>
    </row>
    <row r="19">
      <c r="A19" t="inlineStr">
        <is>
          <t>prime_agent_revenue</t>
        </is>
      </c>
      <c r="B19" s="3" t="n">
        <v>5210896.698222283</v>
      </c>
    </row>
    <row r="20">
      <c r="A20" t="inlineStr">
        <is>
          <t>− CoF (deducted per-venue in display)</t>
        </is>
      </c>
      <c r="B20" s="3" t="n">
        <v>-2940291.815491744</v>
      </c>
    </row>
    <row r="21">
      <c r="A21" t="inlineStr"/>
      <c r="B21" s="4" t="n">
        <v>2270604.88273054</v>
      </c>
    </row>
    <row r="23">
      <c r="A23" t="inlineStr">
        <is>
          <t>Period</t>
        </is>
      </c>
      <c r="B23" t="inlineStr">
        <is>
          <t>2026-04-01 → 2026-04-30 (30 days)</t>
        </is>
      </c>
    </row>
    <row r="24">
      <c r="A24" t="inlineStr">
        <is>
          <t>Pin blocks</t>
        </is>
      </c>
      <c r="B24" t="inlineStr">
        <is>
          <t>avalanche_c=84298393, base=45402126, ethereum=24996367, monad=71616121, plume=65382097</t>
        </is>
      </c>
    </row>
    <row r="25">
      <c r="A25" t="inlineStr">
        <is>
          <t>Generated</t>
        </is>
      </c>
      <c r="B25" t="inlineStr">
        <is>
          <t>2026-06-09T15:32:40+00:00</t>
        </is>
      </c>
    </row>
    <row r="26">
      <c r="A26" t="inlineStr">
        <is>
          <t>Pipeline</t>
        </is>
      </c>
      <c r="B26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  <row r="2">
      <c r="A2" t="inlineStr">
        <is>
          <t>E9</t>
        </is>
      </c>
      <c r="B2" t="inlineStr">
        <is>
          <t>Janus Henderson Anemoy Treasury Fund (JTRSY)</t>
        </is>
      </c>
      <c r="C2" t="inlineStr">
        <is>
          <t>ethereum</t>
        </is>
      </c>
      <c r="D2" t="inlineStr">
        <is>
          <t>E</t>
        </is>
      </c>
      <c r="E2" s="5" t="n">
        <v>1159047371.22971</v>
      </c>
      <c r="F2" s="5" t="n">
        <v>1222772366.24006</v>
      </c>
      <c r="G2" s="5" t="n">
        <v>63724995.01035004</v>
      </c>
      <c r="H2" s="5" t="n">
        <v>3764875.760245043</v>
      </c>
      <c r="I2" s="5" t="n">
        <v>0</v>
      </c>
      <c r="J2" s="5" t="n">
        <v>0</v>
      </c>
      <c r="K2" s="5" t="n">
        <v>3764875.760245043</v>
      </c>
      <c r="L2" s="5" t="n">
        <v>1354542321.121297</v>
      </c>
      <c r="M2" s="6" t="n">
        <v>0</v>
      </c>
      <c r="N2" s="5" t="n">
        <v>0</v>
      </c>
      <c r="O2" s="5" t="n">
        <v>3764875.760245043</v>
      </c>
      <c r="P2" s="5" t="n">
        <v>0</v>
      </c>
      <c r="Q2" s="5" t="n">
        <v>1354542321.121297</v>
      </c>
      <c r="R2" s="5" t="n">
        <v>0</v>
      </c>
      <c r="S2" t="inlineStr">
        <is>
          <t>SDE (fixed)</t>
        </is>
      </c>
    </row>
    <row r="3">
      <c r="A3" t="inlineStr">
        <is>
          <t>E10</t>
        </is>
      </c>
      <c r="B3" t="inlineStr">
        <is>
          <t>BlackRock USD Institutional Digital Liquidity Fund (BUIDL-I)</t>
        </is>
      </c>
      <c r="C3" t="inlineStr">
        <is>
          <t>ethereum</t>
        </is>
      </c>
      <c r="D3" t="inlineStr">
        <is>
          <t>E</t>
        </is>
      </c>
      <c r="E3" s="5" t="n">
        <v>706747881.3200001</v>
      </c>
      <c r="F3" s="5" t="n">
        <v>984378012.0599999</v>
      </c>
      <c r="G3" s="5" t="n">
        <v>277630130.74</v>
      </c>
      <c r="H3" s="5" t="n">
        <v>2630130.74</v>
      </c>
      <c r="I3" s="5" t="n">
        <v>0</v>
      </c>
      <c r="J3" s="5" t="n">
        <v>0</v>
      </c>
      <c r="K3" s="5" t="n">
        <v>2630130.74</v>
      </c>
      <c r="L3" s="5" t="n">
        <v>921747881.3200001</v>
      </c>
      <c r="M3" s="6" t="n">
        <v>0</v>
      </c>
      <c r="N3" s="5" t="n">
        <v>0</v>
      </c>
      <c r="O3" s="5" t="n">
        <v>2630130.74</v>
      </c>
      <c r="P3" s="5" t="n">
        <v>0</v>
      </c>
      <c r="Q3" s="5" t="n">
        <v>921747881.3200001</v>
      </c>
      <c r="R3" s="5" t="n">
        <v>0</v>
      </c>
      <c r="S3" t="inlineStr">
        <is>
          <t>SDE (fixed)</t>
        </is>
      </c>
    </row>
    <row r="4">
      <c r="A4" t="inlineStr">
        <is>
          <t>E20</t>
        </is>
      </c>
      <c r="B4" t="inlineStr">
        <is>
          <t>Janus Henderson Anemoy AAA CLO (JAAA-avalanche)</t>
        </is>
      </c>
      <c r="C4" t="inlineStr">
        <is>
          <t>avalanche_c</t>
        </is>
      </c>
      <c r="D4" t="inlineStr">
        <is>
          <t>E</t>
        </is>
      </c>
      <c r="E4" s="5" t="n">
        <v>256878461.531194</v>
      </c>
      <c r="F4" s="5" t="n">
        <v>258061227.2116671</v>
      </c>
      <c r="G4" s="5" t="n">
        <v>1182765.680473135</v>
      </c>
      <c r="H4" s="5" t="n">
        <v>1182765.680473135</v>
      </c>
      <c r="I4" s="5" t="n">
        <v>0</v>
      </c>
      <c r="J4" s="5" t="n">
        <v>1182765.680473135</v>
      </c>
      <c r="K4" s="5" t="n">
        <v>0</v>
      </c>
      <c r="L4" s="5" t="n">
        <v>256878461.531194</v>
      </c>
      <c r="M4" s="6" t="n">
        <v>1</v>
      </c>
      <c r="N4" s="5" t="n">
        <v>798983.3608645581</v>
      </c>
      <c r="O4" s="5" t="n">
        <v>798983.3608645581</v>
      </c>
      <c r="P4" s="5" t="n">
        <v>383782.3196085766</v>
      </c>
      <c r="Q4" s="5" t="n">
        <v>0</v>
      </c>
      <c r="R4" s="5" t="n">
        <v>0</v>
      </c>
      <c r="S4" t="inlineStr"/>
    </row>
    <row r="5">
      <c r="A5" t="inlineStr">
        <is>
          <t>E1</t>
        </is>
      </c>
      <c r="B5" t="inlineStr">
        <is>
          <t>Aave Horizon RWA RLUSD (aToken)</t>
        </is>
      </c>
      <c r="C5" t="inlineStr">
        <is>
          <t>ethereum</t>
        </is>
      </c>
      <c r="D5" t="inlineStr">
        <is>
          <t>C</t>
        </is>
      </c>
      <c r="E5" s="5" t="n">
        <v>135317040.9826294</v>
      </c>
      <c r="F5" s="5" t="n">
        <v>251199143.4481741</v>
      </c>
      <c r="G5" s="5" t="n">
        <v>115882102.4655447</v>
      </c>
      <c r="H5" s="5" t="n">
        <v>159871.279996599</v>
      </c>
      <c r="I5" s="5" t="n">
        <v>978913.6706715025</v>
      </c>
      <c r="J5" s="5" t="n">
        <v>1138784.950668102</v>
      </c>
      <c r="K5" s="5" t="n">
        <v>0</v>
      </c>
      <c r="L5" s="5" t="n">
        <v>164994117.6754281</v>
      </c>
      <c r="M5" s="6" t="n">
        <v>1</v>
      </c>
      <c r="N5" s="5" t="n">
        <v>513190.3775715641</v>
      </c>
      <c r="O5" s="5" t="n">
        <v>513190.3775715641</v>
      </c>
      <c r="P5" s="5" t="n">
        <v>625594.5730965375</v>
      </c>
      <c r="Q5" s="5" t="n">
        <v>0</v>
      </c>
      <c r="R5" s="5" t="n">
        <v>0</v>
      </c>
      <c r="S5" t="inlineStr"/>
    </row>
    <row r="6">
      <c r="A6" t="inlineStr">
        <is>
          <t>E8</t>
        </is>
      </c>
      <c r="B6" t="inlineStr">
        <is>
          <t>Janus Henderson Anemoy AAA CLO (JAAA)</t>
        </is>
      </c>
      <c r="C6" t="inlineStr">
        <is>
          <t>ethereum</t>
        </is>
      </c>
      <c r="D6" t="inlineStr">
        <is>
          <t>E</t>
        </is>
      </c>
      <c r="E6" s="5" t="n">
        <v>128240934.4499469</v>
      </c>
      <c r="F6" s="5" t="n">
        <v>128831404.2588795</v>
      </c>
      <c r="G6" s="5" t="n">
        <v>590469.8089325136</v>
      </c>
      <c r="H6" s="5" t="n">
        <v>590469.8089325136</v>
      </c>
      <c r="I6" s="5" t="n">
        <v>0</v>
      </c>
      <c r="J6" s="5" t="n">
        <v>590469.8089325136</v>
      </c>
      <c r="K6" s="5" t="n">
        <v>0</v>
      </c>
      <c r="L6" s="5" t="n">
        <v>128240934.4499469</v>
      </c>
      <c r="M6" s="6" t="n">
        <v>1</v>
      </c>
      <c r="N6" s="5" t="n">
        <v>398874.9083768068</v>
      </c>
      <c r="O6" s="5" t="n">
        <v>398874.9083768068</v>
      </c>
      <c r="P6" s="5" t="n">
        <v>191594.9005557068</v>
      </c>
      <c r="Q6" s="5" t="n">
        <v>0</v>
      </c>
      <c r="R6" s="5" t="n">
        <v>0</v>
      </c>
      <c r="S6" t="inlineStr"/>
    </row>
    <row r="7">
      <c r="A7" t="inlineStr">
        <is>
          <t>E7</t>
        </is>
      </c>
      <c r="B7" t="inlineStr">
        <is>
          <t>Securitize Tokenized AAA CLO Fund (STAC)</t>
        </is>
      </c>
      <c r="C7" t="inlineStr">
        <is>
          <t>ethereum</t>
        </is>
      </c>
      <c r="D7" t="inlineStr">
        <is>
          <t>E</t>
        </is>
      </c>
      <c r="E7" s="5" t="n">
        <v>100932589.9</v>
      </c>
      <c r="F7" s="5" t="n">
        <v>101506871</v>
      </c>
      <c r="G7" s="5" t="n">
        <v>574281.1</v>
      </c>
      <c r="H7" s="5" t="n">
        <v>574281.1</v>
      </c>
      <c r="I7" s="5" t="n">
        <v>0</v>
      </c>
      <c r="J7" s="5" t="n">
        <v>574281.1</v>
      </c>
      <c r="K7" s="5" t="n">
        <v>0</v>
      </c>
      <c r="L7" s="5" t="n">
        <v>100932589.9</v>
      </c>
      <c r="M7" s="6" t="n">
        <v>1</v>
      </c>
      <c r="N7" s="5" t="n">
        <v>313936.2460300053</v>
      </c>
      <c r="O7" s="5" t="n">
        <v>313936.2460300053</v>
      </c>
      <c r="P7" s="5" t="n">
        <v>260344.8539699948</v>
      </c>
      <c r="Q7" s="5" t="n">
        <v>0</v>
      </c>
      <c r="R7" s="5" t="n">
        <v>0</v>
      </c>
      <c r="S7" t="inlineStr"/>
    </row>
    <row r="8">
      <c r="A8" t="inlineStr">
        <is>
          <t>E3</t>
        </is>
      </c>
      <c r="B8" t="inlineStr">
        <is>
          <t>Aave Ethereum RLUSD (aToken)</t>
        </is>
      </c>
      <c r="C8" t="inlineStr">
        <is>
          <t>ethereum</t>
        </is>
      </c>
      <c r="D8" t="inlineStr">
        <is>
          <t>C</t>
        </is>
      </c>
      <c r="E8" s="5" t="n">
        <v>138267796.4244791</v>
      </c>
      <c r="F8" s="5" t="n">
        <v>0.3672154333303549</v>
      </c>
      <c r="G8" s="5" t="n">
        <v>-138267796.0572637</v>
      </c>
      <c r="H8" s="5" t="n">
        <v>-1348288.147999676</v>
      </c>
      <c r="I8" s="5" t="n">
        <v>1411897.309885636</v>
      </c>
      <c r="J8" s="5" t="n">
        <v>63609.1618859599</v>
      </c>
      <c r="K8" s="5" t="n">
        <v>0</v>
      </c>
      <c r="L8" s="5" t="n">
        <v>77820296.86848758</v>
      </c>
      <c r="M8" s="6" t="n">
        <v>1</v>
      </c>
      <c r="N8" s="5" t="n">
        <v>242048.7960136409</v>
      </c>
      <c r="O8" s="5" t="n">
        <v>242048.7960136409</v>
      </c>
      <c r="P8" s="5" t="n">
        <v>-178439.6341276809</v>
      </c>
      <c r="Q8" s="5" t="n">
        <v>0</v>
      </c>
      <c r="R8" s="5" t="n">
        <v>0</v>
      </c>
      <c r="S8" t="inlineStr"/>
    </row>
    <row r="9">
      <c r="A9" t="inlineStr">
        <is>
          <t>E22</t>
        </is>
      </c>
      <c r="B9" t="inlineStr">
        <is>
          <t>Anemoy Tokenized Apollo Diversified Credit Fund (ACRDX)</t>
        </is>
      </c>
      <c r="C9" t="inlineStr">
        <is>
          <t>plume</t>
        </is>
      </c>
      <c r="D9" t="inlineStr">
        <is>
          <t>E</t>
        </is>
      </c>
      <c r="E9" s="5" t="n">
        <v>50674767.8590638</v>
      </c>
      <c r="F9" s="5" t="n">
        <v>50865822.2173752</v>
      </c>
      <c r="G9" s="5" t="n">
        <v>191054.358311405</v>
      </c>
      <c r="H9" s="5" t="n">
        <v>191054.358311405</v>
      </c>
      <c r="I9" s="5" t="n">
        <v>0</v>
      </c>
      <c r="J9" s="5" t="n">
        <v>191054.358311405</v>
      </c>
      <c r="K9" s="5" t="n">
        <v>0</v>
      </c>
      <c r="L9" s="5" t="n">
        <v>50674767.8590638</v>
      </c>
      <c r="M9" s="6" t="n">
        <v>1</v>
      </c>
      <c r="N9" s="5" t="n">
        <v>157616.5478947693</v>
      </c>
      <c r="O9" s="5" t="n">
        <v>157616.5478947693</v>
      </c>
      <c r="P9" s="5" t="n">
        <v>33437.81041663571</v>
      </c>
      <c r="Q9" s="5" t="n">
        <v>0</v>
      </c>
      <c r="R9" s="5" t="n">
        <v>0</v>
      </c>
      <c r="S9" t="inlineStr"/>
    </row>
    <row r="10">
      <c r="A10" t="inlineStr">
        <is>
          <t>E21</t>
        </is>
      </c>
      <c r="B10" t="inlineStr">
        <is>
          <t>Galaxy Arch CLO Token (GACLO-1)</t>
        </is>
      </c>
      <c r="C10" t="inlineStr">
        <is>
          <t>avalanche_c</t>
        </is>
      </c>
      <c r="D10" t="inlineStr">
        <is>
          <t>E</t>
        </is>
      </c>
      <c r="E10" s="5" t="n">
        <v>49900000</v>
      </c>
      <c r="F10" s="5" t="n">
        <v>49900000</v>
      </c>
      <c r="G10" s="5" t="n">
        <v>0</v>
      </c>
      <c r="H10" s="5" t="n">
        <v>402742.9599999999</v>
      </c>
      <c r="I10" s="5" t="n">
        <v>0</v>
      </c>
      <c r="J10" s="5" t="n">
        <v>402742.9599999999</v>
      </c>
      <c r="K10" s="5" t="n">
        <v>0</v>
      </c>
      <c r="L10" s="5" t="n">
        <v>50000000</v>
      </c>
      <c r="M10" s="6" t="n">
        <v>1</v>
      </c>
      <c r="N10" s="5" t="n">
        <v>155517.7799068868</v>
      </c>
      <c r="O10" s="5" t="n">
        <v>155517.7799068868</v>
      </c>
      <c r="P10" s="5" t="n">
        <v>247225.1800931131</v>
      </c>
      <c r="Q10" s="5" t="n">
        <v>0</v>
      </c>
      <c r="R10" s="5" t="n">
        <v>0</v>
      </c>
      <c r="S10" t="inlineStr">
        <is>
          <t>(off-chain notional)</t>
        </is>
      </c>
    </row>
    <row r="11">
      <c r="A11" t="inlineStr">
        <is>
          <t>E23</t>
        </is>
      </c>
      <c r="B11" t="inlineStr">
        <is>
          <t>Steakhouse Prime Instant (Base, Morpho V2)</t>
        </is>
      </c>
      <c r="C11" t="inlineStr">
        <is>
          <t>base</t>
        </is>
      </c>
      <c r="D11" t="inlineStr">
        <is>
          <t>B</t>
        </is>
      </c>
      <c r="E11" s="5" t="n">
        <v>16006741.12761191</v>
      </c>
      <c r="F11" s="5" t="n">
        <v>67839910.00531574</v>
      </c>
      <c r="G11" s="5" t="n">
        <v>51833168.87770382</v>
      </c>
      <c r="H11" s="5" t="n">
        <v>136894.3045630957</v>
      </c>
      <c r="I11" s="5" t="n">
        <v>0</v>
      </c>
      <c r="J11" s="5" t="n">
        <v>136894.3045630957</v>
      </c>
      <c r="K11" s="5" t="n">
        <v>0</v>
      </c>
      <c r="L11" s="5" t="n">
        <v>40876976.46262941</v>
      </c>
      <c r="M11" s="6" t="n">
        <v>1</v>
      </c>
      <c r="N11" s="5" t="n">
        <v>127141.9325754838</v>
      </c>
      <c r="O11" s="5" t="n">
        <v>127141.9325754838</v>
      </c>
      <c r="P11" s="5" t="n">
        <v>9752.371987611881</v>
      </c>
      <c r="Q11" s="5" t="n">
        <v>0</v>
      </c>
      <c r="R11" s="5" t="n">
        <v>0</v>
      </c>
      <c r="S11" t="inlineStr"/>
    </row>
    <row r="12">
      <c r="A12" t="inlineStr">
        <is>
          <t>E12</t>
        </is>
      </c>
      <c r="B12" t="inlineStr">
        <is>
          <t>Uniswap V3 AUSD/USDC pool (NFT positions)</t>
        </is>
      </c>
      <c r="C12" t="inlineStr">
        <is>
          <t>ethereum</t>
        </is>
      </c>
      <c r="D12" t="inlineStr">
        <is>
          <t>F</t>
        </is>
      </c>
      <c r="E12" s="5" t="n">
        <v>25015282.512565</v>
      </c>
      <c r="F12" s="5" t="n">
        <v>25025948.067729</v>
      </c>
      <c r="G12" s="5" t="n">
        <v>10665.555164</v>
      </c>
      <c r="H12" s="5" t="n">
        <v>10665.555164</v>
      </c>
      <c r="I12" s="5" t="n">
        <v>0</v>
      </c>
      <c r="J12" s="5" t="n">
        <v>10665.555164</v>
      </c>
      <c r="K12" s="5" t="n">
        <v>0</v>
      </c>
      <c r="L12" s="5" t="n">
        <v>25015282.512565</v>
      </c>
      <c r="M12" s="6" t="n">
        <v>1</v>
      </c>
      <c r="N12" s="5" t="n">
        <v>77806.42400195355</v>
      </c>
      <c r="O12" s="5" t="n">
        <v>77806.42400195355</v>
      </c>
      <c r="P12" s="5" t="n">
        <v>-67140.86883795355</v>
      </c>
      <c r="Q12" s="5" t="n">
        <v>0</v>
      </c>
      <c r="R12" s="5" t="n">
        <v>0</v>
      </c>
      <c r="S12" t="inlineStr"/>
    </row>
    <row r="13">
      <c r="A13" t="inlineStr">
        <is>
          <t>E11</t>
        </is>
      </c>
      <c r="B13" t="inlineStr">
        <is>
          <t>Curve AUSD/USDC stableswap LP</t>
        </is>
      </c>
      <c r="C13" t="inlineStr">
        <is>
          <t>ethereum</t>
        </is>
      </c>
      <c r="D13" t="inlineStr">
        <is>
          <t>F</t>
        </is>
      </c>
      <c r="E13" s="5" t="n">
        <v>25000938.94809114</v>
      </c>
      <c r="F13" s="5" t="n">
        <v>25001164.10540737</v>
      </c>
      <c r="G13" s="5" t="n">
        <v>225.1573162353097</v>
      </c>
      <c r="H13" s="5" t="n">
        <v>225.1573162353097</v>
      </c>
      <c r="I13" s="5" t="n">
        <v>0</v>
      </c>
      <c r="J13" s="5" t="n">
        <v>225.1573162353097</v>
      </c>
      <c r="K13" s="5" t="n">
        <v>0</v>
      </c>
      <c r="L13" s="5" t="n">
        <v>25000938.94809114</v>
      </c>
      <c r="M13" s="6" t="n">
        <v>1</v>
      </c>
      <c r="N13" s="5" t="n">
        <v>77761.81041589502</v>
      </c>
      <c r="O13" s="5" t="n">
        <v>77761.81041589502</v>
      </c>
      <c r="P13" s="5" t="n">
        <v>-77536.6530996597</v>
      </c>
      <c r="Q13" s="5" t="n">
        <v>0</v>
      </c>
      <c r="R13" s="5" t="n">
        <v>0</v>
      </c>
      <c r="S13" t="inlineStr"/>
    </row>
    <row r="14">
      <c r="A14" t="inlineStr">
        <is>
          <t>E6</t>
        </is>
      </c>
      <c r="B14" t="inlineStr">
        <is>
          <t>Grove x Steakhouse AUSD (Morpho 4626)</t>
        </is>
      </c>
      <c r="C14" t="inlineStr">
        <is>
          <t>ethereum</t>
        </is>
      </c>
      <c r="D14" t="inlineStr">
        <is>
          <t>B</t>
        </is>
      </c>
      <c r="E14" s="5" t="n">
        <v>18646064.03664092</v>
      </c>
      <c r="F14" s="5" t="n">
        <v>24982367.8949618</v>
      </c>
      <c r="G14" s="5" t="n">
        <v>6336303.858320887</v>
      </c>
      <c r="H14" s="5" t="n">
        <v>49854.67827919457</v>
      </c>
      <c r="I14" s="5" t="n">
        <v>0</v>
      </c>
      <c r="J14" s="5" t="n">
        <v>49854.67827919457</v>
      </c>
      <c r="K14" s="5" t="n">
        <v>0</v>
      </c>
      <c r="L14" s="5" t="n">
        <v>20152370.75595837</v>
      </c>
      <c r="M14" s="6" t="n">
        <v>1</v>
      </c>
      <c r="N14" s="5" t="n">
        <v>62681.03919654229</v>
      </c>
      <c r="O14" s="5" t="n">
        <v>62681.03919654229</v>
      </c>
      <c r="P14" s="5" t="n">
        <v>-12826.36091734772</v>
      </c>
      <c r="Q14" s="5" t="n">
        <v>0</v>
      </c>
      <c r="R14" s="5" t="n">
        <v>0</v>
      </c>
      <c r="S14" t="inlineStr"/>
    </row>
    <row r="15">
      <c r="A15" t="inlineStr">
        <is>
          <t>E4</t>
        </is>
      </c>
      <c r="B15" t="inlineStr">
        <is>
          <t>Grove x Steakhouse USDC (Morpho 4626)</t>
        </is>
      </c>
      <c r="C15" t="inlineStr">
        <is>
          <t>ethereum</t>
        </is>
      </c>
      <c r="D15" t="inlineStr">
        <is>
          <t>B</t>
        </is>
      </c>
      <c r="E15" s="5" t="n">
        <v>3954260.398216645</v>
      </c>
      <c r="F15" s="5" t="n">
        <v>5004060.193602587</v>
      </c>
      <c r="G15" s="5" t="n">
        <v>1049799.795385942</v>
      </c>
      <c r="H15" s="5" t="n">
        <v>8520.449267044414</v>
      </c>
      <c r="I15" s="5" t="n">
        <v>0</v>
      </c>
      <c r="J15" s="5" t="n">
        <v>8520.449267044414</v>
      </c>
      <c r="K15" s="5" t="n">
        <v>0</v>
      </c>
      <c r="L15" s="5" t="n">
        <v>3119189.521534131</v>
      </c>
      <c r="M15" s="6" t="n">
        <v>1</v>
      </c>
      <c r="N15" s="5" t="n">
        <v>9701.788589956248</v>
      </c>
      <c r="O15" s="5" t="n">
        <v>9701.788589956248</v>
      </c>
      <c r="P15" s="5" t="n">
        <v>-1181.339322911833</v>
      </c>
      <c r="Q15" s="5" t="n">
        <v>0</v>
      </c>
      <c r="R15" s="5" t="n">
        <v>0</v>
      </c>
      <c r="S15" t="inlineStr"/>
    </row>
    <row r="16">
      <c r="A16" t="inlineStr">
        <is>
          <t>E19</t>
        </is>
      </c>
      <c r="B16" t="inlineStr">
        <is>
          <t>Grove x Steakhouse USDC High Yield (Base, Morpho 4626)</t>
        </is>
      </c>
      <c r="C16" t="inlineStr">
        <is>
          <t>base</t>
        </is>
      </c>
      <c r="D16" t="inlineStr">
        <is>
          <t>B</t>
        </is>
      </c>
      <c r="E16" s="5" t="n">
        <v>1007405.415147632</v>
      </c>
      <c r="F16" s="5" t="n">
        <v>1010849.948509241</v>
      </c>
      <c r="G16" s="5" t="n">
        <v>3444.533361608432</v>
      </c>
      <c r="H16" s="5" t="n">
        <v>3444.533361608432</v>
      </c>
      <c r="I16" s="5" t="n">
        <v>0</v>
      </c>
      <c r="J16" s="5" t="n">
        <v>3444.533361608432</v>
      </c>
      <c r="K16" s="5" t="n">
        <v>0</v>
      </c>
      <c r="L16" s="5" t="n">
        <v>1007405.415147632</v>
      </c>
      <c r="M16" s="6" t="n">
        <v>1</v>
      </c>
      <c r="N16" s="5" t="n">
        <v>3133.389072598707</v>
      </c>
      <c r="O16" s="5" t="n">
        <v>3133.389072598707</v>
      </c>
      <c r="P16" s="5" t="n">
        <v>311.1442890097251</v>
      </c>
      <c r="Q16" s="5" t="n">
        <v>0</v>
      </c>
      <c r="R16" s="5" t="n">
        <v>0</v>
      </c>
      <c r="S16" t="inlineStr"/>
    </row>
    <row r="17">
      <c r="A17" t="inlineStr">
        <is>
          <t>E15</t>
        </is>
      </c>
      <c r="B17" t="inlineStr">
        <is>
          <t>USDC raw (ALM idle)</t>
        </is>
      </c>
      <c r="C17" t="inlineStr">
        <is>
          <t>ethereum</t>
        </is>
      </c>
      <c r="D17" t="inlineStr">
        <is>
          <t>A</t>
        </is>
      </c>
      <c r="E17" s="5" t="n">
        <v>9999494.265490999</v>
      </c>
      <c r="F17" s="5" t="n">
        <v>0</v>
      </c>
      <c r="G17" s="5" t="n">
        <v>-9999494.265490999</v>
      </c>
      <c r="H17" s="5" t="n">
        <v>-9.437415e-09</v>
      </c>
      <c r="I17" s="5" t="n">
        <v>0</v>
      </c>
      <c r="J17" s="5" t="n">
        <v>-9.437415e-09</v>
      </c>
      <c r="K17" s="5" t="n">
        <v>0</v>
      </c>
      <c r="L17" s="5" t="n">
        <v>599962.5500943019</v>
      </c>
      <c r="M17" s="6" t="n">
        <v>1</v>
      </c>
      <c r="N17" s="5" t="n">
        <v>1866.096876358804</v>
      </c>
      <c r="O17" s="5" t="n">
        <v>1866.096876358804</v>
      </c>
      <c r="P17" s="5" t="n">
        <v>-1866.096876368241</v>
      </c>
      <c r="Q17" s="5" t="n">
        <v>0</v>
      </c>
      <c r="R17" s="5" t="n">
        <v>0</v>
      </c>
      <c r="S17" t="inlineStr"/>
    </row>
    <row r="18">
      <c r="A18" t="inlineStr">
        <is>
          <t>E31</t>
        </is>
      </c>
      <c r="B18" t="inlineStr">
        <is>
          <t>AUSD raw (alt holder idle)</t>
        </is>
      </c>
      <c r="C18" t="inlineStr">
        <is>
          <t>ethereum</t>
        </is>
      </c>
      <c r="D18" t="inlineStr">
        <is>
          <t>A</t>
        </is>
      </c>
      <c r="E18" s="5" t="n">
        <v>10068.978846</v>
      </c>
      <c r="F18" s="5" t="n">
        <v>10068.978846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10068.978846</v>
      </c>
      <c r="M18" s="6" t="n">
        <v>1</v>
      </c>
      <c r="N18" s="5" t="n">
        <v>31.31810472118654</v>
      </c>
      <c r="O18" s="5" t="n">
        <v>31.31810472118654</v>
      </c>
      <c r="P18" s="5" t="n">
        <v>-31.31810472118654</v>
      </c>
      <c r="Q18" s="5" t="n">
        <v>0</v>
      </c>
      <c r="R18" s="5" t="n">
        <v>0</v>
      </c>
      <c r="S18" t="inlineStr"/>
    </row>
    <row r="19">
      <c r="A19" t="inlineStr">
        <is>
          <t>E2</t>
        </is>
      </c>
      <c r="B19" t="inlineStr">
        <is>
          <t>Aave Horizon RWA USDC (aToken)</t>
        </is>
      </c>
      <c r="C19" t="inlineStr">
        <is>
          <t>ethereum</t>
        </is>
      </c>
      <c r="D19" t="inlineStr">
        <is>
          <t>C</t>
        </is>
      </c>
      <c r="E19" s="5" t="n">
        <v>1e-06</v>
      </c>
      <c r="F19" s="5" t="n">
        <v>1e-06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1e-06</v>
      </c>
      <c r="M19" s="6" t="n">
        <v>1</v>
      </c>
      <c r="N19" s="5" t="n">
        <v>3.110355598137735e-09</v>
      </c>
      <c r="O19" s="5" t="n">
        <v>3.110355598137735e-09</v>
      </c>
      <c r="P19" s="5" t="n">
        <v>-3.110355598137735e-09</v>
      </c>
      <c r="Q19" s="5" t="n">
        <v>0</v>
      </c>
      <c r="R19" s="5" t="n">
        <v>0</v>
      </c>
      <c r="S19" t="inlineStr"/>
    </row>
    <row r="20">
      <c r="A20" t="inlineStr">
        <is>
          <t>E5</t>
        </is>
      </c>
      <c r="B20" t="inlineStr">
        <is>
          <t>Grove x Steakhouse USDC High Yield (Morpho 4626)</t>
        </is>
      </c>
      <c r="C20" t="inlineStr">
        <is>
          <t>ethereum</t>
        </is>
      </c>
      <c r="D20" t="inlineStr">
        <is>
          <t>B</t>
        </is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6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t="inlineStr"/>
    </row>
    <row r="21">
      <c r="A21" t="inlineStr">
        <is>
          <t>E37</t>
        </is>
      </c>
      <c r="B21" t="inlineStr">
        <is>
          <t>Maple syrupUSDC (ERC-4626)</t>
        </is>
      </c>
      <c r="C21" t="inlineStr">
        <is>
          <t>ethereum</t>
        </is>
      </c>
      <c r="D21" t="inlineStr">
        <is>
          <t>B</t>
        </is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6" t="n">
        <v>1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t="inlineStr"/>
    </row>
    <row r="22">
      <c r="A22" t="inlineStr">
        <is>
          <t>E30</t>
        </is>
      </c>
      <c r="B22" t="inlineStr">
        <is>
          <t>Uniswap V3 AUSD/USDC pool (NFT positions — alt holder)</t>
        </is>
      </c>
      <c r="C22" t="inlineStr">
        <is>
          <t>ethereum</t>
        </is>
      </c>
      <c r="D22" t="inlineStr">
        <is>
          <t>F</t>
        </is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6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t="inlineStr"/>
    </row>
    <row r="23">
      <c r="A23" t="inlineStr">
        <is>
          <t>E13</t>
        </is>
      </c>
      <c r="B23" t="inlineStr">
        <is>
          <t>RLUSD raw (ALM idle)</t>
        </is>
      </c>
      <c r="C23" t="inlineStr">
        <is>
          <t>ethereum</t>
        </is>
      </c>
      <c r="D23" t="inlineStr">
        <is>
          <t>A</t>
        </is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6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t="inlineStr"/>
    </row>
    <row r="24">
      <c r="A24" t="inlineStr">
        <is>
          <t>E32</t>
        </is>
      </c>
      <c r="B24" t="inlineStr">
        <is>
          <t>USDC raw (alt holder idle)</t>
        </is>
      </c>
      <c r="C24" t="inlineStr">
        <is>
          <t>ethereum</t>
        </is>
      </c>
      <c r="D24" t="inlineStr">
        <is>
          <t>A</t>
        </is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6" t="n">
        <v>1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t="inlineStr"/>
    </row>
    <row r="25">
      <c r="A25" t="inlineStr">
        <is>
          <t>E16</t>
        </is>
      </c>
      <c r="B25" t="inlineStr">
        <is>
          <t>DAI raw (ALM idle)</t>
        </is>
      </c>
      <c r="C25" t="inlineStr">
        <is>
          <t>ethereum</t>
        </is>
      </c>
      <c r="D25" t="inlineStr">
        <is>
          <t>A</t>
        </is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6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t="inlineStr"/>
    </row>
    <row r="26">
      <c r="A26" t="inlineStr">
        <is>
          <t>E17</t>
        </is>
      </c>
      <c r="B26" t="inlineStr">
        <is>
          <t>USDS raw / POL (ALM idle — already netted out of utilized)</t>
        </is>
      </c>
      <c r="C26" t="inlineStr">
        <is>
          <t>ethereum</t>
        </is>
      </c>
      <c r="D26" t="inlineStr">
        <is>
          <t>A</t>
        </is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6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t="inlineStr">
        <is>
          <t>CoF excluded (already deducted from utilized)</t>
        </is>
      </c>
    </row>
    <row r="27">
      <c r="A27" t="inlineStr">
        <is>
          <t>E18</t>
        </is>
      </c>
      <c r="B27" t="inlineStr">
        <is>
          <t>sUSDS raw / POL (ALM idle — Cat B 4626)</t>
        </is>
      </c>
      <c r="C27" t="inlineStr">
        <is>
          <t>ethereum</t>
        </is>
      </c>
      <c r="D27" t="inlineStr">
        <is>
          <t>B</t>
        </is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6" t="n">
        <v>1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t="inlineStr"/>
    </row>
    <row r="28">
      <c r="A28" t="inlineStr">
        <is>
          <t>E24</t>
        </is>
      </c>
      <c r="B28" t="inlineStr">
        <is>
          <t>Steakhouse High Yield PYUSD (Morpho 4626)</t>
        </is>
      </c>
      <c r="C28" t="inlineStr">
        <is>
          <t>ethereum</t>
        </is>
      </c>
      <c r="D28" t="inlineStr">
        <is>
          <t>B</t>
        </is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6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t="inlineStr"/>
    </row>
    <row r="29">
      <c r="A29" t="inlineStr">
        <is>
          <t>E26</t>
        </is>
      </c>
      <c r="B29" t="inlineStr">
        <is>
          <t>PYUSD raw (ALM idle)</t>
        </is>
      </c>
      <c r="C29" t="inlineStr">
        <is>
          <t>ethereum</t>
        </is>
      </c>
      <c r="D29" t="inlineStr">
        <is>
          <t>A</t>
        </is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6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t="inlineStr"/>
    </row>
    <row r="30">
      <c r="A30" t="inlineStr">
        <is>
          <t>E27</t>
        </is>
      </c>
      <c r="B30" t="inlineStr">
        <is>
          <t>USDC raw on Base (ALM idle)</t>
        </is>
      </c>
      <c r="C30" t="inlineStr">
        <is>
          <t>base</t>
        </is>
      </c>
      <c r="D30" t="inlineStr">
        <is>
          <t>A</t>
        </is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6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t="inlineStr"/>
    </row>
    <row r="31">
      <c r="A31" t="inlineStr">
        <is>
          <t>E38</t>
        </is>
      </c>
      <c r="B31" t="inlineStr">
        <is>
          <t>Agora AUSD incentives (cash distribution to Grove Eth ALM)</t>
        </is>
      </c>
      <c r="C31" t="inlineStr">
        <is>
          <t>ethereum</t>
        </is>
      </c>
      <c r="D31" t="inlineStr">
        <is>
          <t>A</t>
        </is>
      </c>
      <c r="E31" s="5" t="n">
        <v>0</v>
      </c>
      <c r="F31" s="5" t="n">
        <v>0</v>
      </c>
      <c r="G31" s="5" t="n">
        <v>0</v>
      </c>
      <c r="H31" s="5" t="n">
        <v>857584</v>
      </c>
      <c r="I31" s="5" t="n">
        <v>0</v>
      </c>
      <c r="J31" s="5" t="n">
        <v>857584</v>
      </c>
      <c r="K31" s="5" t="n">
        <v>0</v>
      </c>
      <c r="L31" s="5" t="n">
        <v>0</v>
      </c>
      <c r="M31" s="6" t="n">
        <v>1</v>
      </c>
      <c r="N31" s="5" t="n">
        <v>0</v>
      </c>
      <c r="O31" s="5" t="n">
        <v>0</v>
      </c>
      <c r="P31" s="5" t="n">
        <v>857584</v>
      </c>
      <c r="Q31" s="5" t="n">
        <v>0</v>
      </c>
      <c r="R31" s="5" t="n">
        <v>0</v>
      </c>
      <c r="S31" t="inlineStr"/>
    </row>
    <row r="32">
      <c r="A32" t="inlineStr">
        <is>
          <t>PSM_CURVE_DEDUCT</t>
        </is>
      </c>
      <c r="B32" t="inlineStr">
        <is>
          <t>PSM3 USDS + PSM3 USDC (SDE) + Curve idle USDS — BR deduction (unattributed)</t>
        </is>
      </c>
      <c r="C32" t="inlineStr"/>
      <c r="D32" t="inlineStr"/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6" t="n">
        <v>0</v>
      </c>
      <c r="N32" s="5" t="n">
        <v>0</v>
      </c>
      <c r="O32" s="5" t="n">
        <v>0</v>
      </c>
      <c r="P32" s="5" t="n">
        <v>0</v>
      </c>
      <c r="Q32" s="5" t="n">
        <v>0</v>
      </c>
      <c r="R32" s="5" t="n">
        <v>0</v>
      </c>
      <c r="S32" t="inlineStr">
        <is>
          <t>BR deduction from PSM3 USDS leg + PSM3 USDC leg (SDE, ≈$0 yield) + Curve idle USDS — not tracked per-venue; residual = sky_rev_br_reduction − Σ(known venue deduction_avg × effective_br_rate × n_days)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2940291.815491744</v>
      </c>
    </row>
    <row r="5">
      <c r="A5" t="inlineStr">
        <is>
          <t>+ Sky-Direct revenue (full venue yield on fixed/capped SDE)</t>
        </is>
      </c>
      <c r="B5" s="3" t="n">
        <v>6395006.500245043</v>
      </c>
    </row>
    <row r="6">
      <c r="A6" t="inlineStr">
        <is>
          <t>equals sky_revenue (total Sky take this month)</t>
        </is>
      </c>
      <c r="B6" s="3" t="n">
        <v>9335298.315736787</v>
      </c>
    </row>
    <row r="8">
      <c r="A8" s="7" t="inlineStr">
        <is>
          <t>Utilized base = cum_debt − idle USDS − PSM USDS − Σ SDE asset value − Curve idle − lending idle</t>
        </is>
      </c>
    </row>
    <row r="10">
      <c r="A10" s="8" t="inlineStr">
        <is>
          <t>Sky Revenue (max) — BR × full ilk debt (no deductions)</t>
        </is>
      </c>
      <c r="B10" s="3" t="n">
        <v>10336519.98374095</v>
      </c>
    </row>
    <row r="11">
      <c r="A11" t="inlineStr">
        <is>
          <t xml:space="preserve">    ↳ actual CoF on Net_Subs (BR × utilized)</t>
        </is>
      </c>
      <c r="B11" s="3" t="n">
        <v>2940291.815491744</v>
      </c>
    </row>
    <row r="12">
      <c r="A12" t="inlineStr">
        <is>
          <t xml:space="preserve">    ↳ reduction from idle/SDE deductions</t>
        </is>
      </c>
      <c r="B12" s="3" t="n">
        <v>-7396228.168249207</v>
      </c>
    </row>
    <row r="13" ht="60" customHeight="1">
      <c r="A13" s="9" t="inlineStr">
        <is>
          <t>Note: sky_revenue can EXCEED sky_revenue_gross for primes with active SDE positions — sky_revenue also adds sde_revenue on top of BR-on-utilized. The subsidised BR (ref_rate ramp) is already applied here; this is NOT the raw Maker base rate.</t>
        </is>
      </c>
    </row>
    <row r="15">
      <c r="A15" s="2" t="inlineStr">
        <is>
          <t>Subsidy</t>
        </is>
      </c>
      <c r="B15" s="2" t="inlineStr">
        <is>
          <t>Value</t>
        </is>
      </c>
    </row>
    <row r="16">
      <c r="A16" t="inlineStr">
        <is>
          <t>enabled</t>
        </is>
      </c>
      <c r="B16" t="inlineStr">
        <is>
          <t>true</t>
        </is>
      </c>
    </row>
    <row r="17">
      <c r="A17" t="inlineStr">
        <is>
          <t>cap_usd</t>
        </is>
      </c>
      <c r="B17" s="5" t="n">
        <v>1000000000</v>
      </c>
    </row>
    <row r="18">
      <c r="A18" t="inlineStr">
        <is>
          <t>program_start</t>
        </is>
      </c>
      <c r="B18" t="inlineStr">
        <is>
          <t>2026-01-01</t>
        </is>
      </c>
    </row>
    <row r="19">
      <c r="A19" t="inlineStr">
        <is>
          <t>ramp_months</t>
        </is>
      </c>
      <c r="B19" t="n">
        <v>24</v>
      </c>
    </row>
    <row r="20">
      <c r="A20" t="inlineStr">
        <is>
          <t>ref_rate_kind</t>
        </is>
      </c>
      <c r="B20" t="inlineStr">
        <is>
          <t>tbill_3m</t>
        </is>
      </c>
    </row>
    <row r="21">
      <c r="A21" t="inlineStr">
        <is>
          <t>T this period</t>
        </is>
      </c>
      <c r="B21" t="inlineStr">
        <is>
          <t>3 (SoM) → 3 (EoM)</t>
        </is>
      </c>
    </row>
    <row r="22">
      <c r="A22" s="7" t="inlineStr">
        <is>
          <t>Formula</t>
        </is>
      </c>
      <c r="B22" t="inlineStr">
        <is>
          <t>subsidised_apy = ref_rate + (base_apy − ref_rate) × min(T, 24) / 24, applied to first cap_usd of utilized; excess at full base_apy</t>
        </is>
      </c>
    </row>
    <row r="24">
      <c r="A24" s="7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  <row r="4">
      <c r="A4" t="inlineStr">
        <is>
          <t>E10</t>
        </is>
      </c>
      <c r="B4" t="inlineStr">
        <is>
          <t>fixed</t>
        </is>
      </c>
      <c r="C4" t="inlineStr"/>
      <c r="D4" t="inlineStr">
        <is>
          <t>2025-10-30</t>
        </is>
      </c>
      <c r="E4" t="inlineStr">
        <is>
          <t>—</t>
        </is>
      </c>
      <c r="F4" t="inlineStr">
        <is>
          <t>YES</t>
        </is>
      </c>
      <c r="G4" t="inlineStr">
        <is>
          <t>Atlas A.2.2.9.1.1.1.1.1 — Treasury Bills</t>
        </is>
      </c>
      <c r="H4" t="inlineStr">
        <is>
          <t>BUIDL on Eth</t>
        </is>
      </c>
      <c r="I4" s="5" t="n">
        <v>2630130.74</v>
      </c>
      <c r="J4" s="5" t="n">
        <v>2630130.74</v>
      </c>
    </row>
    <row r="5">
      <c r="A5" t="inlineStr">
        <is>
          <t>E9</t>
        </is>
      </c>
      <c r="B5" t="inlineStr">
        <is>
          <t>fixed</t>
        </is>
      </c>
      <c r="C5" t="inlineStr"/>
      <c r="D5" t="inlineStr">
        <is>
          <t>2025-10-30</t>
        </is>
      </c>
      <c r="E5" t="inlineStr">
        <is>
          <t>—</t>
        </is>
      </c>
      <c r="F5" t="inlineStr">
        <is>
          <t>YES</t>
        </is>
      </c>
      <c r="G5" t="inlineStr">
        <is>
          <t>Atlas A.2.2.9.1.1.1.1.1 — Treasury Bills</t>
        </is>
      </c>
      <c r="H5" t="inlineStr">
        <is>
          <t>JTRSY on Eth</t>
        </is>
      </c>
      <c r="I5" s="5" t="n">
        <v>3764875.760245043</v>
      </c>
      <c r="J5" s="5" t="n">
        <v>3764875.760245043</v>
      </c>
    </row>
    <row r="6">
      <c r="A6" t="inlineStr">
        <is>
          <t>E8</t>
        </is>
      </c>
      <c r="B6" t="inlineStr">
        <is>
          <t>capped</t>
        </is>
      </c>
      <c r="C6" s="5" t="n">
        <v>325000000</v>
      </c>
      <c r="D6" t="inlineStr">
        <is>
          <t>2025-10-23</t>
        </is>
      </c>
      <c r="E6" t="inlineStr">
        <is>
          <t>2026-03-12</t>
        </is>
      </c>
      <c r="F6" t="inlineStr">
        <is>
          <t>no</t>
        </is>
      </c>
      <c r="G6" t="inlineStr">
        <is>
          <t>Atlas A.2.2.9.1.1.1.1.3.0.6.1 — Historical SDE</t>
        </is>
      </c>
      <c r="H6" t="inlineStr">
        <is>
          <t>JAAA on Eth (≤ $325M)</t>
        </is>
      </c>
      <c r="I6" s="5" t="n">
        <v>590469.8089325136</v>
      </c>
      <c r="J6" s="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1" customWidth="1" min="11" max="11"/>
    <col width="12" customWidth="1" min="12" max="12"/>
    <col width="11" customWidth="1" min="13" max="13"/>
    <col width="18" customWidth="1" min="14" max="14"/>
    <col width="22" customWidth="1" min="15" max="15"/>
  </cols>
  <sheetData>
    <row r="1">
      <c r="A1" s="1" t="inlineStr">
        <is>
          <t>Daily ilk debt + Sky charge breakdown</t>
        </is>
      </c>
    </row>
    <row r="3" ht="45" customHeight="1">
      <c r="A3" s="9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T (months)</t>
        </is>
      </c>
      <c r="L5" s="2" t="inlineStr">
        <is>
          <t>ref_rate APY</t>
        </is>
      </c>
      <c r="M5" s="2" t="inlineStr">
        <is>
          <t>sub APY</t>
        </is>
      </c>
      <c r="N5" s="2" t="inlineStr">
        <is>
          <t>daily Sky charge</t>
        </is>
      </c>
      <c r="O5" s="2" t="inlineStr">
        <is>
          <t>daily Sky charge (gross on cum_debt)</t>
        </is>
      </c>
    </row>
    <row r="6">
      <c r="A6" t="inlineStr">
        <is>
          <t>2026-04-01</t>
        </is>
      </c>
      <c r="B6" s="5" t="n">
        <v>2902299105.715095</v>
      </c>
      <c r="C6" s="5" t="n">
        <v>0</v>
      </c>
      <c r="D6" s="5" t="n">
        <v>0</v>
      </c>
      <c r="E6" s="5" t="n">
        <v>1915988754.642077</v>
      </c>
      <c r="F6" s="5" t="n">
        <v>0</v>
      </c>
      <c r="G6" s="5" t="n">
        <v>0</v>
      </c>
      <c r="H6" s="5" t="n">
        <v>986310351.0730177</v>
      </c>
      <c r="I6" s="6" t="n">
        <v>0.03750000355548933</v>
      </c>
      <c r="J6" s="6" t="n">
        <v>0.04061250356615579</v>
      </c>
      <c r="K6" t="n">
        <v>3</v>
      </c>
      <c r="L6" s="6" t="n">
        <v>0.0358</v>
      </c>
      <c r="M6" s="6" t="n">
        <v>0.03640156294576948</v>
      </c>
      <c r="N6" s="3" t="n">
        <v>96621.74269245965</v>
      </c>
      <c r="O6" s="3" t="n">
        <v>305452.3499058383</v>
      </c>
    </row>
    <row r="7">
      <c r="A7" t="inlineStr">
        <is>
          <t>2026-04-02</t>
        </is>
      </c>
      <c r="B7" s="5" t="n">
        <v>2942299611.449604</v>
      </c>
      <c r="C7" s="5" t="n">
        <v>0</v>
      </c>
      <c r="D7" s="5" t="n">
        <v>0</v>
      </c>
      <c r="E7" s="5" t="n">
        <v>1966157578.098083</v>
      </c>
      <c r="F7" s="5" t="n">
        <v>0</v>
      </c>
      <c r="G7" s="5" t="n">
        <v>0</v>
      </c>
      <c r="H7" s="5" t="n">
        <v>976142033.3515211</v>
      </c>
      <c r="I7" s="6" t="n">
        <v>0.03750000355548933</v>
      </c>
      <c r="J7" s="6" t="n">
        <v>0.04061250356615579</v>
      </c>
      <c r="K7" t="n">
        <v>3</v>
      </c>
      <c r="L7" s="6" t="n">
        <v>0.0358</v>
      </c>
      <c r="M7" s="6" t="n">
        <v>0.03640156294576948</v>
      </c>
      <c r="N7" s="3" t="n">
        <v>95625.62562095902</v>
      </c>
      <c r="O7" s="3" t="n">
        <v>309815.3263347571</v>
      </c>
    </row>
    <row r="8">
      <c r="A8" t="inlineStr">
        <is>
          <t>2026-04-03</t>
        </is>
      </c>
      <c r="B8" s="5" t="n">
        <v>2942299611.449604</v>
      </c>
      <c r="C8" s="5" t="n">
        <v>0</v>
      </c>
      <c r="D8" s="5" t="n">
        <v>0</v>
      </c>
      <c r="E8" s="5" t="n">
        <v>1966600031.289287</v>
      </c>
      <c r="F8" s="5" t="n">
        <v>0</v>
      </c>
      <c r="G8" s="5" t="n">
        <v>0</v>
      </c>
      <c r="H8" s="5" t="n">
        <v>975699580.1603171</v>
      </c>
      <c r="I8" s="6" t="n">
        <v>0.03750000355548933</v>
      </c>
      <c r="J8" s="6" t="n">
        <v>0.04061250356615579</v>
      </c>
      <c r="K8" t="n">
        <v>3</v>
      </c>
      <c r="L8" s="6" t="n">
        <v>0.0358</v>
      </c>
      <c r="M8" s="6" t="n">
        <v>0.03640156294576948</v>
      </c>
      <c r="N8" s="3" t="n">
        <v>95582.28165894191</v>
      </c>
      <c r="O8" s="3" t="n">
        <v>309815.3263347571</v>
      </c>
    </row>
    <row r="9">
      <c r="A9" t="inlineStr">
        <is>
          <t>2026-04-04</t>
        </is>
      </c>
      <c r="B9" s="5" t="n">
        <v>2942299611.449604</v>
      </c>
      <c r="C9" s="5" t="n">
        <v>0</v>
      </c>
      <c r="D9" s="5" t="n">
        <v>0</v>
      </c>
      <c r="E9" s="5" t="n">
        <v>1991600031.289286</v>
      </c>
      <c r="F9" s="5" t="n">
        <v>0</v>
      </c>
      <c r="G9" s="5" t="n">
        <v>0</v>
      </c>
      <c r="H9" s="5" t="n">
        <v>950699580.160318</v>
      </c>
      <c r="I9" s="6" t="n">
        <v>0.03750000355548933</v>
      </c>
      <c r="J9" s="6" t="n">
        <v>0.04061250356615579</v>
      </c>
      <c r="K9" t="n">
        <v>3</v>
      </c>
      <c r="L9" s="6" t="n">
        <v>0.0358</v>
      </c>
      <c r="M9" s="6" t="n">
        <v>0.03640156294576948</v>
      </c>
      <c r="N9" s="3" t="n">
        <v>93133.21117652884</v>
      </c>
      <c r="O9" s="3" t="n">
        <v>309815.3263347571</v>
      </c>
    </row>
    <row r="10">
      <c r="A10" t="inlineStr">
        <is>
          <t>2026-04-05</t>
        </is>
      </c>
      <c r="B10" s="5" t="n">
        <v>2942299611.449604</v>
      </c>
      <c r="C10" s="5" t="n">
        <v>0</v>
      </c>
      <c r="D10" s="5" t="n">
        <v>0</v>
      </c>
      <c r="E10" s="5" t="n">
        <v>1991600031.289286</v>
      </c>
      <c r="F10" s="5" t="n">
        <v>0</v>
      </c>
      <c r="G10" s="5" t="n">
        <v>0</v>
      </c>
      <c r="H10" s="5" t="n">
        <v>950699580.160318</v>
      </c>
      <c r="I10" s="6" t="n">
        <v>0.03750000355548933</v>
      </c>
      <c r="J10" s="6" t="n">
        <v>0.04061250356615579</v>
      </c>
      <c r="K10" t="n">
        <v>3</v>
      </c>
      <c r="L10" s="6" t="n">
        <v>0.0358</v>
      </c>
      <c r="M10" s="6" t="n">
        <v>0.03640156294576948</v>
      </c>
      <c r="N10" s="3" t="n">
        <v>93133.21117652884</v>
      </c>
      <c r="O10" s="3" t="n">
        <v>309815.3263347571</v>
      </c>
    </row>
    <row r="11">
      <c r="A11" t="inlineStr">
        <is>
          <t>2026-04-06</t>
        </is>
      </c>
      <c r="B11" s="5" t="n">
        <v>2993299611.449604</v>
      </c>
      <c r="C11" s="5" t="n">
        <v>0</v>
      </c>
      <c r="D11" s="5" t="n">
        <v>0</v>
      </c>
      <c r="E11" s="5" t="n">
        <v>2041890772.529286</v>
      </c>
      <c r="F11" s="5" t="n">
        <v>0</v>
      </c>
      <c r="G11" s="5" t="n">
        <v>0</v>
      </c>
      <c r="H11" s="5" t="n">
        <v>951408838.920318</v>
      </c>
      <c r="I11" s="6" t="n">
        <v>0.03750000355548933</v>
      </c>
      <c r="J11" s="6" t="n">
        <v>0.04061250356615579</v>
      </c>
      <c r="K11" t="n">
        <v>3</v>
      </c>
      <c r="L11" s="6" t="n">
        <v>0.0372</v>
      </c>
      <c r="M11" s="6" t="n">
        <v>0.03762656294576947</v>
      </c>
      <c r="N11" s="3" t="n">
        <v>96282.11308634774</v>
      </c>
      <c r="O11" s="3" t="n">
        <v>318614.7466755229</v>
      </c>
    </row>
    <row r="12">
      <c r="A12" t="inlineStr">
        <is>
          <t>2026-04-07</t>
        </is>
      </c>
      <c r="B12" s="5" t="n">
        <v>3092300856.639604</v>
      </c>
      <c r="C12" s="5" t="n">
        <v>0</v>
      </c>
      <c r="D12" s="5" t="n">
        <v>0</v>
      </c>
      <c r="E12" s="5" t="n">
        <v>2092063056.361175</v>
      </c>
      <c r="F12" s="5" t="n">
        <v>0</v>
      </c>
      <c r="G12" s="5" t="n">
        <v>0</v>
      </c>
      <c r="H12" s="5" t="n">
        <v>1000237800.278429</v>
      </c>
      <c r="I12" s="6" t="n">
        <v>0.03750000355548933</v>
      </c>
      <c r="J12" s="6" t="n">
        <v>0.04061250356615579</v>
      </c>
      <c r="K12" t="n">
        <v>3</v>
      </c>
      <c r="L12" s="6" t="n">
        <v>0.0372</v>
      </c>
      <c r="M12" s="6" t="n">
        <v>0.03762656294576947</v>
      </c>
      <c r="N12" s="3" t="n">
        <v>101225.4526192667</v>
      </c>
      <c r="O12" s="3" t="n">
        <v>329413.1126278049</v>
      </c>
    </row>
    <row r="13">
      <c r="A13" t="inlineStr">
        <is>
          <t>2026-04-08</t>
        </is>
      </c>
      <c r="B13" s="5" t="n">
        <v>3144300856.639604</v>
      </c>
      <c r="C13" s="5" t="n">
        <v>0</v>
      </c>
      <c r="D13" s="5" t="n">
        <v>0</v>
      </c>
      <c r="E13" s="5" t="n">
        <v>2167281456.252301</v>
      </c>
      <c r="F13" s="5" t="n">
        <v>0</v>
      </c>
      <c r="G13" s="5" t="n">
        <v>0</v>
      </c>
      <c r="H13" s="5" t="n">
        <v>977019400.3873028</v>
      </c>
      <c r="I13" s="6" t="n">
        <v>0.03750000355548933</v>
      </c>
      <c r="J13" s="6" t="n">
        <v>0.04061250356615579</v>
      </c>
      <c r="K13" t="n">
        <v>3</v>
      </c>
      <c r="L13" s="6" t="n">
        <v>0.0372</v>
      </c>
      <c r="M13" s="6" t="n">
        <v>0.03762656294576947</v>
      </c>
      <c r="N13" s="3" t="n">
        <v>98873.88948624684</v>
      </c>
      <c r="O13" s="3" t="n">
        <v>335084.9102748045</v>
      </c>
    </row>
    <row r="14">
      <c r="A14" t="inlineStr">
        <is>
          <t>2026-04-09</t>
        </is>
      </c>
      <c r="B14" s="5" t="n">
        <v>3171300856.639604</v>
      </c>
      <c r="C14" s="5" t="n">
        <v>0</v>
      </c>
      <c r="D14" s="5" t="n">
        <v>0</v>
      </c>
      <c r="E14" s="5" t="n">
        <v>2192507087.798722</v>
      </c>
      <c r="F14" s="5" t="n">
        <v>0</v>
      </c>
      <c r="G14" s="5" t="n">
        <v>0</v>
      </c>
      <c r="H14" s="5" t="n">
        <v>978793768.8408822</v>
      </c>
      <c r="I14" s="6" t="n">
        <v>0.03750000355548933</v>
      </c>
      <c r="J14" s="6" t="n">
        <v>0.04061250356615579</v>
      </c>
      <c r="K14" t="n">
        <v>3</v>
      </c>
      <c r="L14" s="6" t="n">
        <v>0.0372</v>
      </c>
      <c r="M14" s="6" t="n">
        <v>0.03762656294576947</v>
      </c>
      <c r="N14" s="3" t="n">
        <v>99053.45471321935</v>
      </c>
      <c r="O14" s="3" t="n">
        <v>338029.8821299773</v>
      </c>
    </row>
    <row r="15">
      <c r="A15" t="inlineStr">
        <is>
          <t>2026-04-10</t>
        </is>
      </c>
      <c r="B15" s="5" t="n">
        <v>3243944281.747824</v>
      </c>
      <c r="C15" s="5" t="n">
        <v>0</v>
      </c>
      <c r="D15" s="5" t="n">
        <v>0</v>
      </c>
      <c r="E15" s="5" t="n">
        <v>2267736099.057306</v>
      </c>
      <c r="F15" s="5" t="n">
        <v>0</v>
      </c>
      <c r="G15" s="5" t="n">
        <v>0</v>
      </c>
      <c r="H15" s="5" t="n">
        <v>976208182.6905184</v>
      </c>
      <c r="I15" s="6" t="n">
        <v>0.03750000355548933</v>
      </c>
      <c r="J15" s="6" t="n">
        <v>0.04061250356615579</v>
      </c>
      <c r="K15" t="n">
        <v>3</v>
      </c>
      <c r="L15" s="6" t="n">
        <v>0.0372</v>
      </c>
      <c r="M15" s="6" t="n">
        <v>0.03762656294576947</v>
      </c>
      <c r="N15" s="3" t="n">
        <v>98791.79464875504</v>
      </c>
      <c r="O15" s="3" t="n">
        <v>345953.3207376463</v>
      </c>
    </row>
    <row r="16">
      <c r="A16" t="inlineStr">
        <is>
          <t>2026-04-11</t>
        </is>
      </c>
      <c r="B16" s="5" t="n">
        <v>3243944281.747824</v>
      </c>
      <c r="C16" s="5" t="n">
        <v>0</v>
      </c>
      <c r="D16" s="5" t="n">
        <v>0</v>
      </c>
      <c r="E16" s="5" t="n">
        <v>2267736099.057306</v>
      </c>
      <c r="F16" s="5" t="n">
        <v>0</v>
      </c>
      <c r="G16" s="5" t="n">
        <v>0</v>
      </c>
      <c r="H16" s="5" t="n">
        <v>976208182.6905184</v>
      </c>
      <c r="I16" s="6" t="n">
        <v>0.03750000355548933</v>
      </c>
      <c r="J16" s="6" t="n">
        <v>0.04061250356615579</v>
      </c>
      <c r="K16" t="n">
        <v>3</v>
      </c>
      <c r="L16" s="6" t="n">
        <v>0.0372</v>
      </c>
      <c r="M16" s="6" t="n">
        <v>0.03762656294576947</v>
      </c>
      <c r="N16" s="3" t="n">
        <v>98791.79464875504</v>
      </c>
      <c r="O16" s="3" t="n">
        <v>345953.3207376463</v>
      </c>
    </row>
    <row r="17">
      <c r="A17" t="inlineStr">
        <is>
          <t>2026-04-12</t>
        </is>
      </c>
      <c r="B17" s="5" t="n">
        <v>3243944281.747824</v>
      </c>
      <c r="C17" s="5" t="n">
        <v>0</v>
      </c>
      <c r="D17" s="5" t="n">
        <v>0</v>
      </c>
      <c r="E17" s="5" t="n">
        <v>2267736099.057306</v>
      </c>
      <c r="F17" s="5" t="n">
        <v>0</v>
      </c>
      <c r="G17" s="5" t="n">
        <v>0</v>
      </c>
      <c r="H17" s="5" t="n">
        <v>976208182.6905184</v>
      </c>
      <c r="I17" s="6" t="n">
        <v>0.03750000355548933</v>
      </c>
      <c r="J17" s="6" t="n">
        <v>0.04061250356615579</v>
      </c>
      <c r="K17" t="n">
        <v>3</v>
      </c>
      <c r="L17" s="6" t="n">
        <v>0.0372</v>
      </c>
      <c r="M17" s="6" t="n">
        <v>0.03762656294576947</v>
      </c>
      <c r="N17" s="3" t="n">
        <v>98791.79464875504</v>
      </c>
      <c r="O17" s="3" t="n">
        <v>345953.3207376463</v>
      </c>
    </row>
    <row r="18">
      <c r="A18" t="inlineStr">
        <is>
          <t>2026-04-13</t>
        </is>
      </c>
      <c r="B18" s="5" t="n">
        <v>3343944281.747824</v>
      </c>
      <c r="C18" s="5" t="n">
        <v>0</v>
      </c>
      <c r="D18" s="5" t="n">
        <v>0</v>
      </c>
      <c r="E18" s="5" t="n">
        <v>2343349995.666073</v>
      </c>
      <c r="F18" s="5" t="n">
        <v>0</v>
      </c>
      <c r="G18" s="5" t="n">
        <v>0</v>
      </c>
      <c r="H18" s="5" t="n">
        <v>1000594286.081751</v>
      </c>
      <c r="I18" s="6" t="n">
        <v>0.03750000355548933</v>
      </c>
      <c r="J18" s="6" t="n">
        <v>0.04061250356615579</v>
      </c>
      <c r="K18" t="n">
        <v>3</v>
      </c>
      <c r="L18" s="6" t="n">
        <v>0.0371</v>
      </c>
      <c r="M18" s="6" t="n">
        <v>0.03753906294576947</v>
      </c>
      <c r="N18" s="3" t="n">
        <v>101033.269462143</v>
      </c>
      <c r="O18" s="3" t="n">
        <v>356629.5577605127</v>
      </c>
    </row>
    <row r="19">
      <c r="A19" t="inlineStr">
        <is>
          <t>2026-04-14</t>
        </is>
      </c>
      <c r="B19" s="5" t="n">
        <v>3343944281.747824</v>
      </c>
      <c r="C19" s="5" t="n">
        <v>0</v>
      </c>
      <c r="D19" s="5" t="n">
        <v>0</v>
      </c>
      <c r="E19" s="5" t="n">
        <v>2393539842.477116</v>
      </c>
      <c r="F19" s="5" t="n">
        <v>0</v>
      </c>
      <c r="G19" s="5" t="n">
        <v>0</v>
      </c>
      <c r="H19" s="5" t="n">
        <v>950404439.270708</v>
      </c>
      <c r="I19" s="6" t="n">
        <v>0.03750000355548933</v>
      </c>
      <c r="J19" s="6" t="n">
        <v>0.04061250356615579</v>
      </c>
      <c r="K19" t="n">
        <v>3</v>
      </c>
      <c r="L19" s="6" t="n">
        <v>0.0371</v>
      </c>
      <c r="M19" s="6" t="n">
        <v>0.03753906294576947</v>
      </c>
      <c r="N19" s="3" t="n">
        <v>95960.86203947759</v>
      </c>
      <c r="O19" s="3" t="n">
        <v>356629.5577605127</v>
      </c>
    </row>
    <row r="20">
      <c r="A20" t="inlineStr">
        <is>
          <t>2026-04-15</t>
        </is>
      </c>
      <c r="B20" s="5" t="n">
        <v>3457644281.747824</v>
      </c>
      <c r="C20" s="5" t="n">
        <v>0</v>
      </c>
      <c r="D20" s="5" t="n">
        <v>0</v>
      </c>
      <c r="E20" s="5" t="n">
        <v>2393747989.762518</v>
      </c>
      <c r="F20" s="5" t="n">
        <v>0</v>
      </c>
      <c r="G20" s="5" t="n">
        <v>0</v>
      </c>
      <c r="H20" s="5" t="n">
        <v>1063896291.985306</v>
      </c>
      <c r="I20" s="6" t="n">
        <v>0.03750000355548933</v>
      </c>
      <c r="J20" s="6" t="n">
        <v>0.04061250356615579</v>
      </c>
      <c r="K20" t="n">
        <v>3</v>
      </c>
      <c r="L20" s="6" t="n">
        <v>0.0371</v>
      </c>
      <c r="M20" s="6" t="n">
        <v>0.03753906294576947</v>
      </c>
      <c r="N20" s="3" t="n">
        <v>107937.8111570302</v>
      </c>
      <c r="O20" s="3" t="n">
        <v>369031.1614617405</v>
      </c>
    </row>
    <row r="21">
      <c r="A21" t="inlineStr">
        <is>
          <t>2026-04-16</t>
        </is>
      </c>
      <c r="B21" s="5" t="n">
        <v>3455786805.38163</v>
      </c>
      <c r="C21" s="5" t="n">
        <v>0</v>
      </c>
      <c r="D21" s="5" t="n">
        <v>0</v>
      </c>
      <c r="E21" s="5" t="n">
        <v>2488937052.878606</v>
      </c>
      <c r="F21" s="5" t="n">
        <v>0</v>
      </c>
      <c r="G21" s="5" t="n">
        <v>0</v>
      </c>
      <c r="H21" s="5" t="n">
        <v>966849752.5030243</v>
      </c>
      <c r="I21" s="6" t="n">
        <v>0.03750000355548933</v>
      </c>
      <c r="J21" s="6" t="n">
        <v>0.04061250356615579</v>
      </c>
      <c r="K21" t="n">
        <v>3</v>
      </c>
      <c r="L21" s="6" t="n">
        <v>0.0371</v>
      </c>
      <c r="M21" s="6" t="n">
        <v>0.03753906294576947</v>
      </c>
      <c r="N21" s="3" t="n">
        <v>97621.31980784962</v>
      </c>
      <c r="O21" s="3" t="n">
        <v>368828.5608832187</v>
      </c>
    </row>
    <row r="22">
      <c r="A22" t="inlineStr">
        <is>
          <t>2026-04-17</t>
        </is>
      </c>
      <c r="B22" s="5" t="n">
        <v>3443791778.650098</v>
      </c>
      <c r="C22" s="5" t="n">
        <v>0</v>
      </c>
      <c r="D22" s="5" t="n">
        <v>0</v>
      </c>
      <c r="E22" s="5" t="n">
        <v>2489220053.871007</v>
      </c>
      <c r="F22" s="5" t="n">
        <v>0</v>
      </c>
      <c r="G22" s="5" t="n">
        <v>0</v>
      </c>
      <c r="H22" s="5" t="n">
        <v>954571724.7790911</v>
      </c>
      <c r="I22" s="6" t="n">
        <v>0.03750000355548933</v>
      </c>
      <c r="J22" s="6" t="n">
        <v>0.04061250356615579</v>
      </c>
      <c r="K22" t="n">
        <v>3</v>
      </c>
      <c r="L22" s="6" t="n">
        <v>0.0371</v>
      </c>
      <c r="M22" s="6" t="n">
        <v>0.03753906294576947</v>
      </c>
      <c r="N22" s="3" t="n">
        <v>96381.62639328883</v>
      </c>
      <c r="O22" s="3" t="n">
        <v>367520.226952611</v>
      </c>
    </row>
    <row r="23">
      <c r="A23" t="inlineStr">
        <is>
          <t>2026-04-18</t>
        </is>
      </c>
      <c r="B23" s="5" t="n">
        <v>3437781539.848698</v>
      </c>
      <c r="C23" s="5" t="n">
        <v>0</v>
      </c>
      <c r="D23" s="5" t="n">
        <v>0</v>
      </c>
      <c r="E23" s="5" t="n">
        <v>2489220053.871007</v>
      </c>
      <c r="F23" s="5" t="n">
        <v>0</v>
      </c>
      <c r="G23" s="5" t="n">
        <v>0</v>
      </c>
      <c r="H23" s="5" t="n">
        <v>948561485.9776911</v>
      </c>
      <c r="I23" s="6" t="n">
        <v>0.03750000355548933</v>
      </c>
      <c r="J23" s="6" t="n">
        <v>0.04061250356615579</v>
      </c>
      <c r="K23" t="n">
        <v>3</v>
      </c>
      <c r="L23" s="6" t="n">
        <v>0.0371</v>
      </c>
      <c r="M23" s="6" t="n">
        <v>0.03753906294576947</v>
      </c>
      <c r="N23" s="3" t="n">
        <v>95774.78190412796</v>
      </c>
      <c r="O23" s="3" t="n">
        <v>366864.6719854632</v>
      </c>
    </row>
    <row r="24">
      <c r="A24" t="inlineStr">
        <is>
          <t>2026-04-19</t>
        </is>
      </c>
      <c r="B24" s="5" t="n">
        <v>3452781539.848698</v>
      </c>
      <c r="C24" s="5" t="n">
        <v>0</v>
      </c>
      <c r="D24" s="5" t="n">
        <v>0</v>
      </c>
      <c r="E24" s="5" t="n">
        <v>2489220053.871007</v>
      </c>
      <c r="F24" s="5" t="n">
        <v>0</v>
      </c>
      <c r="G24" s="5" t="n">
        <v>0</v>
      </c>
      <c r="H24" s="5" t="n">
        <v>963561485.9776911</v>
      </c>
      <c r="I24" s="6" t="n">
        <v>0.03750000355548933</v>
      </c>
      <c r="J24" s="6" t="n">
        <v>0.04061250356615579</v>
      </c>
      <c r="K24" t="n">
        <v>3</v>
      </c>
      <c r="L24" s="6" t="n">
        <v>0.0371</v>
      </c>
      <c r="M24" s="6" t="n">
        <v>0.03753906294576947</v>
      </c>
      <c r="N24" s="3" t="n">
        <v>97289.30863729083</v>
      </c>
      <c r="O24" s="3" t="n">
        <v>368500.7674605592</v>
      </c>
    </row>
    <row r="25">
      <c r="A25" t="inlineStr">
        <is>
          <t>2026-04-20</t>
        </is>
      </c>
      <c r="B25" s="5" t="n">
        <v>3458781539.848698</v>
      </c>
      <c r="C25" s="5" t="n">
        <v>0</v>
      </c>
      <c r="D25" s="5" t="n">
        <v>0</v>
      </c>
      <c r="E25" s="5" t="n">
        <v>2489932776.758896</v>
      </c>
      <c r="F25" s="5" t="n">
        <v>0</v>
      </c>
      <c r="G25" s="5" t="n">
        <v>0</v>
      </c>
      <c r="H25" s="5" t="n">
        <v>968848763.0898014</v>
      </c>
      <c r="I25" s="6" t="n">
        <v>0.03750000355548933</v>
      </c>
      <c r="J25" s="6" t="n">
        <v>0.04061250356615579</v>
      </c>
      <c r="K25" t="n">
        <v>3</v>
      </c>
      <c r="L25" s="6" t="n">
        <v>0.0371</v>
      </c>
      <c r="M25" s="6" t="n">
        <v>0.03753906294576947</v>
      </c>
      <c r="N25" s="3" t="n">
        <v>97823.15680608626</v>
      </c>
      <c r="O25" s="3" t="n">
        <v>369155.2056505976</v>
      </c>
    </row>
    <row r="26">
      <c r="A26" t="inlineStr">
        <is>
          <t>2026-04-21</t>
        </is>
      </c>
      <c r="B26" s="5" t="n">
        <v>3458781761.050591</v>
      </c>
      <c r="C26" s="5" t="n">
        <v>0</v>
      </c>
      <c r="D26" s="5" t="n">
        <v>0</v>
      </c>
      <c r="E26" s="5" t="n">
        <v>2490179802.048874</v>
      </c>
      <c r="F26" s="5" t="n">
        <v>0</v>
      </c>
      <c r="G26" s="5" t="n">
        <v>0</v>
      </c>
      <c r="H26" s="5" t="n">
        <v>968601959.0017172</v>
      </c>
      <c r="I26" s="6" t="n">
        <v>0.03750000355548933</v>
      </c>
      <c r="J26" s="6" t="n">
        <v>0.04061250356615579</v>
      </c>
      <c r="K26" t="n">
        <v>3</v>
      </c>
      <c r="L26" s="6" t="n">
        <v>0.0371</v>
      </c>
      <c r="M26" s="6" t="n">
        <v>0.03753906294576947</v>
      </c>
      <c r="N26" s="3" t="n">
        <v>97798.23738013576</v>
      </c>
      <c r="O26" s="3" t="n">
        <v>369155.2297777587</v>
      </c>
    </row>
    <row r="27">
      <c r="A27" t="inlineStr">
        <is>
          <t>2026-04-22</t>
        </is>
      </c>
      <c r="B27" s="5" t="n">
        <v>3463781761.050591</v>
      </c>
      <c r="C27" s="5" t="n">
        <v>0</v>
      </c>
      <c r="D27" s="5" t="n">
        <v>0</v>
      </c>
      <c r="E27" s="5" t="n">
        <v>2490416461.157495</v>
      </c>
      <c r="F27" s="5" t="n">
        <v>0</v>
      </c>
      <c r="G27" s="5" t="n">
        <v>0</v>
      </c>
      <c r="H27" s="5" t="n">
        <v>973365299.8930957</v>
      </c>
      <c r="I27" s="6" t="n">
        <v>0.03650000241537366</v>
      </c>
      <c r="J27" s="6" t="n">
        <v>0.03960950242261978</v>
      </c>
      <c r="K27" t="n">
        <v>3</v>
      </c>
      <c r="L27" s="6" t="n">
        <v>0.0371</v>
      </c>
      <c r="M27" s="6" t="n">
        <v>0.03741368780282747</v>
      </c>
      <c r="N27" s="3" t="n">
        <v>97956.88475052935</v>
      </c>
      <c r="O27" s="3" t="n">
        <v>362859.5216645316</v>
      </c>
    </row>
    <row r="28">
      <c r="A28" t="inlineStr">
        <is>
          <t>2026-04-23</t>
        </is>
      </c>
      <c r="B28" s="5" t="n">
        <v>3462781840.901659</v>
      </c>
      <c r="C28" s="5" t="n">
        <v>0</v>
      </c>
      <c r="D28" s="5" t="n">
        <v>0</v>
      </c>
      <c r="E28" s="5" t="n">
        <v>2440649792.312514</v>
      </c>
      <c r="F28" s="5" t="n">
        <v>0</v>
      </c>
      <c r="G28" s="5" t="n">
        <v>0</v>
      </c>
      <c r="H28" s="5" t="n">
        <v>1022132048.589145</v>
      </c>
      <c r="I28" s="6" t="n">
        <v>0.03650000241537366</v>
      </c>
      <c r="J28" s="6" t="n">
        <v>0.03960950242261978</v>
      </c>
      <c r="K28" t="n">
        <v>3</v>
      </c>
      <c r="L28" s="6" t="n">
        <v>0.0371</v>
      </c>
      <c r="M28" s="6" t="n">
        <v>0.03741368780282747</v>
      </c>
      <c r="N28" s="3" t="n">
        <v>102992.8608405092</v>
      </c>
      <c r="O28" s="3" t="n">
        <v>362753.099392382</v>
      </c>
    </row>
    <row r="29">
      <c r="A29" t="inlineStr">
        <is>
          <t>2026-04-24</t>
        </is>
      </c>
      <c r="B29" s="5" t="n">
        <v>3363717598.103676</v>
      </c>
      <c r="C29" s="5" t="n">
        <v>0</v>
      </c>
      <c r="D29" s="5" t="n">
        <v>0</v>
      </c>
      <c r="E29" s="5" t="n">
        <v>2390877078.493134</v>
      </c>
      <c r="F29" s="5" t="n">
        <v>0</v>
      </c>
      <c r="G29" s="5" t="n">
        <v>0</v>
      </c>
      <c r="H29" s="5" t="n">
        <v>972840519.6105422</v>
      </c>
      <c r="I29" s="6" t="n">
        <v>0.03650000241537366</v>
      </c>
      <c r="J29" s="6" t="n">
        <v>0.03960950242261978</v>
      </c>
      <c r="K29" t="n">
        <v>3</v>
      </c>
      <c r="L29" s="6" t="n">
        <v>0.0371</v>
      </c>
      <c r="M29" s="6" t="n">
        <v>0.03741368780282747</v>
      </c>
      <c r="N29" s="3" t="n">
        <v>97904.07226413488</v>
      </c>
      <c r="O29" s="3" t="n">
        <v>352209.6156766036</v>
      </c>
    </row>
    <row r="30">
      <c r="A30" t="inlineStr">
        <is>
          <t>2026-04-25</t>
        </is>
      </c>
      <c r="B30" s="5" t="n">
        <v>3364717598.103676</v>
      </c>
      <c r="C30" s="5" t="n">
        <v>0</v>
      </c>
      <c r="D30" s="5" t="n">
        <v>0</v>
      </c>
      <c r="E30" s="5" t="n">
        <v>2390877078.493134</v>
      </c>
      <c r="F30" s="5" t="n">
        <v>0</v>
      </c>
      <c r="G30" s="5" t="n">
        <v>0</v>
      </c>
      <c r="H30" s="5" t="n">
        <v>973840519.6105422</v>
      </c>
      <c r="I30" s="6" t="n">
        <v>0.03650000241537366</v>
      </c>
      <c r="J30" s="6" t="n">
        <v>0.03960950242261978</v>
      </c>
      <c r="K30" t="n">
        <v>3</v>
      </c>
      <c r="L30" s="6" t="n">
        <v>0.0371</v>
      </c>
      <c r="M30" s="6" t="n">
        <v>0.03741368780282747</v>
      </c>
      <c r="N30" s="3" t="n">
        <v>98004.70959398555</v>
      </c>
      <c r="O30" s="3" t="n">
        <v>352316.046447364</v>
      </c>
    </row>
    <row r="31">
      <c r="A31" t="inlineStr">
        <is>
          <t>2026-04-26</t>
        </is>
      </c>
      <c r="B31" s="5" t="n">
        <v>3365717598.103676</v>
      </c>
      <c r="C31" s="5" t="n">
        <v>0</v>
      </c>
      <c r="D31" s="5" t="n">
        <v>0</v>
      </c>
      <c r="E31" s="5" t="n">
        <v>2390877078.493134</v>
      </c>
      <c r="F31" s="5" t="n">
        <v>0</v>
      </c>
      <c r="G31" s="5" t="n">
        <v>0</v>
      </c>
      <c r="H31" s="5" t="n">
        <v>974840519.6105422</v>
      </c>
      <c r="I31" s="6" t="n">
        <v>0.03650000241537366</v>
      </c>
      <c r="J31" s="6" t="n">
        <v>0.03960950242261978</v>
      </c>
      <c r="K31" t="n">
        <v>3</v>
      </c>
      <c r="L31" s="6" t="n">
        <v>0.0371</v>
      </c>
      <c r="M31" s="6" t="n">
        <v>0.03741368780282747</v>
      </c>
      <c r="N31" s="3" t="n">
        <v>98105.34692383622</v>
      </c>
      <c r="O31" s="3" t="n">
        <v>352422.4772181243</v>
      </c>
    </row>
    <row r="32">
      <c r="A32" t="inlineStr">
        <is>
          <t>2026-04-27</t>
        </is>
      </c>
      <c r="B32" s="5" t="n">
        <v>3322994730.200507</v>
      </c>
      <c r="C32" s="5" t="n">
        <v>0</v>
      </c>
      <c r="D32" s="5" t="n">
        <v>0</v>
      </c>
      <c r="E32" s="5" t="n">
        <v>2341529711.253412</v>
      </c>
      <c r="F32" s="5" t="n">
        <v>0</v>
      </c>
      <c r="G32" s="5" t="n">
        <v>0</v>
      </c>
      <c r="H32" s="5" t="n">
        <v>981465018.947095</v>
      </c>
      <c r="I32" s="6" t="n">
        <v>0.03650000241537366</v>
      </c>
      <c r="J32" s="6" t="n">
        <v>0.03960950242261978</v>
      </c>
      <c r="K32" t="n">
        <v>3</v>
      </c>
      <c r="L32" s="6" t="n">
        <v>0.0368</v>
      </c>
      <c r="M32" s="6" t="n">
        <v>0.03715118780282747</v>
      </c>
      <c r="N32" s="3" t="n">
        <v>98091.47235712872</v>
      </c>
      <c r="O32" s="3" t="n">
        <v>347182.0508362442</v>
      </c>
    </row>
    <row r="33">
      <c r="A33" t="inlineStr">
        <is>
          <t>2026-04-28</t>
        </is>
      </c>
      <c r="B33" s="5" t="n">
        <v>3272990187.731967</v>
      </c>
      <c r="C33" s="5" t="n">
        <v>0</v>
      </c>
      <c r="D33" s="5" t="n">
        <v>0</v>
      </c>
      <c r="E33" s="5" t="n">
        <v>2291743456.043683</v>
      </c>
      <c r="F33" s="5" t="n">
        <v>0</v>
      </c>
      <c r="G33" s="5" t="n">
        <v>0</v>
      </c>
      <c r="H33" s="5" t="n">
        <v>981246731.6882842</v>
      </c>
      <c r="I33" s="6" t="n">
        <v>0.03650000241537366</v>
      </c>
      <c r="J33" s="6" t="n">
        <v>0.03960950242261978</v>
      </c>
      <c r="K33" t="n">
        <v>3</v>
      </c>
      <c r="L33" s="6" t="n">
        <v>0.0368</v>
      </c>
      <c r="M33" s="6" t="n">
        <v>0.03715118780282747</v>
      </c>
      <c r="N33" s="3" t="n">
        <v>98069.655870346</v>
      </c>
      <c r="O33" s="3" t="n">
        <v>341860.0288397996</v>
      </c>
    </row>
    <row r="34">
      <c r="A34" t="inlineStr">
        <is>
          <t>2026-04-29</t>
        </is>
      </c>
      <c r="B34" s="5" t="n">
        <v>3221802586.183359</v>
      </c>
      <c r="C34" s="5" t="n">
        <v>0</v>
      </c>
      <c r="D34" s="5" t="n">
        <v>0</v>
      </c>
      <c r="E34" s="5" t="n">
        <v>2241953580.614037</v>
      </c>
      <c r="F34" s="5" t="n">
        <v>0</v>
      </c>
      <c r="G34" s="5" t="n">
        <v>0</v>
      </c>
      <c r="H34" s="5" t="n">
        <v>979849005.5693218</v>
      </c>
      <c r="I34" s="6" t="n">
        <v>0.03650000241537366</v>
      </c>
      <c r="J34" s="6" t="n">
        <v>0.03960950242261978</v>
      </c>
      <c r="K34" t="n">
        <v>3</v>
      </c>
      <c r="L34" s="6" t="n">
        <v>0.0368</v>
      </c>
      <c r="M34" s="6" t="n">
        <v>0.03715118780282747</v>
      </c>
      <c r="N34" s="3" t="n">
        <v>97929.96162723572</v>
      </c>
      <c r="O34" s="3" t="n">
        <v>336412.0929536084</v>
      </c>
    </row>
    <row r="35">
      <c r="A35" t="inlineStr">
        <is>
          <t>2026-04-30</t>
        </is>
      </c>
      <c r="B35" s="5" t="n">
        <v>3184799649.231286</v>
      </c>
      <c r="C35" s="5" t="n">
        <v>0</v>
      </c>
      <c r="D35" s="5" t="n">
        <v>0</v>
      </c>
      <c r="E35" s="5" t="n">
        <v>2207150378.300061</v>
      </c>
      <c r="F35" s="5" t="n">
        <v>0</v>
      </c>
      <c r="G35" s="5" t="n">
        <v>0</v>
      </c>
      <c r="H35" s="5" t="n">
        <v>977649270.9312253</v>
      </c>
      <c r="I35" s="6" t="n">
        <v>0.03650000241537366</v>
      </c>
      <c r="J35" s="6" t="n">
        <v>0.03960950242261978</v>
      </c>
      <c r="K35" t="n">
        <v>3</v>
      </c>
      <c r="L35" s="6" t="n">
        <v>0.0368</v>
      </c>
      <c r="M35" s="6" t="n">
        <v>0.03715118780282747</v>
      </c>
      <c r="N35" s="3" t="n">
        <v>97710.11149984418</v>
      </c>
      <c r="O35" s="3" t="n">
        <v>332473.8418534031</v>
      </c>
    </row>
    <row r="37">
      <c r="A37" s="8" t="inlineStr">
        <is>
          <t>Σ daily charges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s="10" t="n">
        <v>2940291.815491744</v>
      </c>
      <c r="O37" s="10" t="n">
        <v>10336519.98374095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46" customWidth="1" min="4" max="4"/>
    <col width="20" customWidth="1" min="5" max="5"/>
    <col width="18" customWidth="1" min="6" max="6"/>
    <col width="18" customWidth="1" min="7" max="7"/>
    <col width="16" customWidth="1" min="8" max="8"/>
    <col width="22" customWidth="1" min="9" max="9"/>
  </cols>
  <sheetData>
    <row r="1">
      <c r="A1" s="1" t="inlineStr">
        <is>
          <t>Off-protocol holdings (tracked, not in prime revenue)</t>
        </is>
      </c>
    </row>
    <row r="3">
      <c r="A3" t="inlineStr">
        <is>
          <t>These positions sit with external counterparties (e.g. OOB OTC venues, off-protocol custodians). The balances below are visible for monthly-NAV reporting only — they do NOT contribute to prime_agent_revenue or sky_revenue. Any realized gain or loss on the round-trip is booked at the anchor venue when the cash settles back at the ALM proxy.</t>
        </is>
      </c>
    </row>
    <row r="5">
      <c r="A5" s="2" t="inlineStr">
        <is>
          <t>Venue</t>
        </is>
      </c>
      <c r="B5" s="2" t="inlineStr">
        <is>
          <t>Label</t>
        </is>
      </c>
      <c r="C5" s="2" t="inlineStr">
        <is>
          <t>Chain</t>
        </is>
      </c>
      <c r="D5" s="2" t="inlineStr">
        <is>
          <t>Counterparty (paired_source)</t>
        </is>
      </c>
      <c r="E5" s="2" t="inlineStr">
        <is>
          <t>Anchor venue (paired_with)</t>
        </is>
      </c>
      <c r="F5" s="2" t="inlineStr">
        <is>
          <t>Outstanding SoM (USD)</t>
        </is>
      </c>
      <c r="G5" s="2" t="inlineStr">
        <is>
          <t>Outstanding EoM (USD)</t>
        </is>
      </c>
      <c r="H5" s="2" t="inlineStr">
        <is>
          <t>Δ over period</t>
        </is>
      </c>
      <c r="I5" s="2" t="inlineStr">
        <is>
          <t>Status</t>
        </is>
      </c>
    </row>
    <row r="6">
      <c r="A6" t="inlineStr">
        <is>
          <t>E33</t>
        </is>
      </c>
      <c r="B6" t="inlineStr">
        <is>
          <t>Uniswap V3 AUSD/USDC pool (Monad, NFT positions)</t>
        </is>
      </c>
      <c r="C6" t="inlineStr">
        <is>
          <t>monad</t>
        </is>
      </c>
      <c r="D6" t="inlineStr"/>
      <c r="E6" t="inlineStr"/>
      <c r="F6" s="5" t="n">
        <v>0</v>
      </c>
      <c r="G6" s="5" t="n">
        <v>0</v>
      </c>
      <c r="H6" s="5" t="n">
        <v>0</v>
      </c>
      <c r="I6" t="inlineStr">
        <is>
          <t>—</t>
        </is>
      </c>
    </row>
    <row r="7">
      <c r="A7" t="inlineStr">
        <is>
          <t>E14</t>
        </is>
      </c>
      <c r="B7" t="inlineStr">
        <is>
          <t>AUSD raw (ALM idle)</t>
        </is>
      </c>
      <c r="C7" t="inlineStr">
        <is>
          <t>ethereum</t>
        </is>
      </c>
      <c r="D7" t="inlineStr"/>
      <c r="E7" t="inlineStr"/>
      <c r="F7" s="5" t="n">
        <v>0</v>
      </c>
      <c r="G7" s="5" t="n">
        <v>1000462.313608</v>
      </c>
      <c r="H7" s="5" t="n">
        <v>1000462.313608</v>
      </c>
      <c r="I7" t="inlineStr">
        <is>
          <t>new principal-out</t>
        </is>
      </c>
    </row>
    <row r="8">
      <c r="A8" t="inlineStr">
        <is>
          <t>E36</t>
        </is>
      </c>
      <c r="B8" t="inlineStr">
        <is>
          <t>OOB principal via 0xd94f (relay to Monad ALM EOA → AUSD acquisition)</t>
        </is>
      </c>
      <c r="C8" t="inlineStr">
        <is>
          <t>ethereum</t>
        </is>
      </c>
      <c r="D8" t="inlineStr">
        <is>
          <t>0x94b398acb2fce988871218221ea6a4a2b26cccbc</t>
        </is>
      </c>
      <c r="E8" t="inlineStr">
        <is>
          <t>E14</t>
        </is>
      </c>
      <c r="F8" s="5" t="n">
        <v>50001000</v>
      </c>
      <c r="G8" s="5" t="n">
        <v>50001000</v>
      </c>
      <c r="H8" s="5" t="n">
        <v>0</v>
      </c>
      <c r="I8" t="inlineStr">
        <is>
          <t>outstanding (no change)</t>
        </is>
      </c>
    </row>
    <row r="9">
      <c r="A9" t="inlineStr">
        <is>
          <t>E25</t>
        </is>
      </c>
      <c r="B9" t="inlineStr">
        <is>
          <t>Grove x Steakhouse High Yield AUSD (Monad, Morpho 4626)</t>
        </is>
      </c>
      <c r="C9" t="inlineStr">
        <is>
          <t>monad</t>
        </is>
      </c>
      <c r="D9" t="inlineStr"/>
      <c r="E9" t="inlineStr"/>
      <c r="F9" s="5" t="n">
        <v>6504464.084425596</v>
      </c>
      <c r="G9" s="5" t="n">
        <v>0</v>
      </c>
      <c r="H9" s="5" t="n">
        <v>-6504464.084425596</v>
      </c>
      <c r="I9" t="inlineStr">
        <is>
          <t>fully returned</t>
        </is>
      </c>
    </row>
    <row r="10">
      <c r="A10" t="inlineStr">
        <is>
          <t>E34</t>
        </is>
      </c>
      <c r="B10" t="inlineStr">
        <is>
          <t>AUSD raw (Monad, alt holder idle)</t>
        </is>
      </c>
      <c r="C10" t="inlineStr">
        <is>
          <t>monad</t>
        </is>
      </c>
      <c r="D10" t="inlineStr"/>
      <c r="E10" t="inlineStr"/>
      <c r="F10" s="5" t="n">
        <v>0</v>
      </c>
      <c r="G10" s="5" t="n">
        <v>0</v>
      </c>
      <c r="H10" s="5" t="n">
        <v>0</v>
      </c>
      <c r="I10" t="inlineStr">
        <is>
          <t>—</t>
        </is>
      </c>
    </row>
    <row r="11">
      <c r="A11" t="inlineStr">
        <is>
          <t>E35</t>
        </is>
      </c>
      <c r="B11" t="inlineStr">
        <is>
          <t>USDC raw (Monad, alt holder idle)</t>
        </is>
      </c>
      <c r="C11" t="inlineStr">
        <is>
          <t>monad</t>
        </is>
      </c>
      <c r="D11" t="inlineStr"/>
      <c r="E11" t="inlineStr"/>
      <c r="F11" s="5" t="n">
        <v>207788.12728</v>
      </c>
      <c r="G11" s="5" t="n">
        <v>207788.12728</v>
      </c>
      <c r="H11" s="5" t="n">
        <v>0</v>
      </c>
      <c r="I11" t="inlineStr">
        <is>
          <t>outstanding (no change)</t>
        </is>
      </c>
    </row>
    <row r="13">
      <c r="A13" t="inlineStr">
        <is>
          <t>Note: realized gain on returns (the round-trip spread) is recognized as revenue at the anchor venue via the paired-principal-cap classifier — see provenance.json venue_breakdown for the anchor's actual_revenue / external_revenue split.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2026-06-09T15:32:40Z</dcterms:created>
  <dcterms:modified xmlns:dcterms="http://purl.org/dc/terms/" xmlns:xsi="http://www.w3.org/2001/XMLSchema-instance" xsi:type="dcterms:W3CDTF">2026-06-09T15:32:40Z</dcterms:modified>
</cp:coreProperties>
</file>