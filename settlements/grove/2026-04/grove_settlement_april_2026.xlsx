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5210896.698222283</v>
      </c>
    </row>
    <row r="5">
      <c r="A5" t="inlineStr">
        <is>
          <t>+ agent_rate (subproxy USDS / sUSDS yield)</t>
        </is>
      </c>
      <c r="B5" s="3" t="n">
        <v>41636.21627598369</v>
      </c>
    </row>
    <row r="6">
      <c r="A6" t="inlineStr"/>
      <c r="B6" s="4" t="n">
        <v>5252532.914498268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5210896.698222283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2270604.88273054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2026-06-08T08:17:48+00:00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798983.3608645581</v>
      </c>
      <c r="O4" s="5" t="n">
        <v>798983.3608645581</v>
      </c>
      <c r="P4" s="5" t="n">
        <v>383782.3196085766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164994117.6754281</v>
      </c>
      <c r="M5" s="6" t="n">
        <v>1</v>
      </c>
      <c r="N5" s="5" t="n">
        <v>513190.3775715641</v>
      </c>
      <c r="O5" s="5" t="n">
        <v>513190.3775715641</v>
      </c>
      <c r="P5" s="5" t="n">
        <v>625594.5730965375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398874.9083768068</v>
      </c>
      <c r="O6" s="5" t="n">
        <v>398874.9083768068</v>
      </c>
      <c r="P6" s="5" t="n">
        <v>191594.9005557068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313936.2460300053</v>
      </c>
      <c r="O7" s="5" t="n">
        <v>313936.2460300053</v>
      </c>
      <c r="P7" s="5" t="n">
        <v>260344.8539699948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-1348288.147999676</v>
      </c>
      <c r="I8" s="5" t="n">
        <v>1411897.309885636</v>
      </c>
      <c r="J8" s="5" t="n">
        <v>63609.1618859599</v>
      </c>
      <c r="K8" s="5" t="n">
        <v>0</v>
      </c>
      <c r="L8" s="5" t="n">
        <v>77820296.86848758</v>
      </c>
      <c r="M8" s="6" t="n">
        <v>1</v>
      </c>
      <c r="N8" s="5" t="n">
        <v>242048.7960136409</v>
      </c>
      <c r="O8" s="5" t="n">
        <v>242048.7960136409</v>
      </c>
      <c r="P8" s="5" t="n">
        <v>-178439.6341276809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157616.5478947693</v>
      </c>
      <c r="O9" s="5" t="n">
        <v>157616.5478947693</v>
      </c>
      <c r="P9" s="5" t="n">
        <v>33437.81041663571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155517.7799068868</v>
      </c>
      <c r="O10" s="5" t="n">
        <v>155517.7799068868</v>
      </c>
      <c r="P10" s="5" t="n">
        <v>247225.1800931131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127141.9325754838</v>
      </c>
      <c r="O11" s="5" t="n">
        <v>127141.9325754838</v>
      </c>
      <c r="P11" s="5" t="n">
        <v>9752.371987611881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77806.42400195355</v>
      </c>
      <c r="O12" s="5" t="n">
        <v>77806.42400195355</v>
      </c>
      <c r="P12" s="5" t="n">
        <v>-67140.86883795355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77761.81041589502</v>
      </c>
      <c r="O13" s="5" t="n">
        <v>77761.81041589502</v>
      </c>
      <c r="P13" s="5" t="n">
        <v>-77536.6530996597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62681.03919654229</v>
      </c>
      <c r="O14" s="5" t="n">
        <v>62681.03919654229</v>
      </c>
      <c r="P14" s="5" t="n">
        <v>-12826.36091734772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9701.788589956248</v>
      </c>
      <c r="O15" s="5" t="n">
        <v>9701.788589956248</v>
      </c>
      <c r="P15" s="5" t="n">
        <v>-1181.339322911833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3133.389072598707</v>
      </c>
      <c r="O16" s="5" t="n">
        <v>3133.389072598707</v>
      </c>
      <c r="P16" s="5" t="n">
        <v>311.1442890097251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1866.096876358804</v>
      </c>
      <c r="O17" s="5" t="n">
        <v>1866.096876358804</v>
      </c>
      <c r="P17" s="5" t="n">
        <v>-1866.096876368241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31.31810472118654</v>
      </c>
      <c r="O18" s="5" t="n">
        <v>31.31810472118654</v>
      </c>
      <c r="P18" s="5" t="n">
        <v>-31.31810472118654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3.110355598137735e-09</v>
      </c>
      <c r="O19" s="5" t="n">
        <v>3.110355598137735e-09</v>
      </c>
      <c r="P19" s="5" t="n">
        <v>-3.110355598137735e-09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2940291.815491744</v>
      </c>
    </row>
    <row r="5">
      <c r="A5" t="inlineStr">
        <is>
          <t>+ Sky-Direct revenue (full venue yield on fixed/capped SDE)</t>
        </is>
      </c>
      <c r="B5" s="3" t="n">
        <v>6395006.500245043</v>
      </c>
    </row>
    <row r="6">
      <c r="A6" t="inlineStr">
        <is>
          <t>equals sky_revenue (total Sky take this month)</t>
        </is>
      </c>
      <c r="B6" s="3" t="n">
        <v>9335298.315736787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10336519.98374095</v>
      </c>
    </row>
    <row r="11">
      <c r="A11" t="inlineStr">
        <is>
          <t xml:space="preserve">    ↳ actual CoF on Net_Subs (BR × utilized)</t>
        </is>
      </c>
      <c r="B11" s="3" t="n">
        <v>2940291.815491744</v>
      </c>
    </row>
    <row r="12">
      <c r="A12" t="inlineStr">
        <is>
          <t xml:space="preserve">    ↳ reduction from idle/SDE deductions</t>
        </is>
      </c>
      <c r="B12" s="3" t="n">
        <v>-7396228.168249207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3 (SoM) → 3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2026-06-08T08:17:48Z</dcterms:created>
  <dcterms:modified xmlns:dcterms="http://purl.org/dc/terms/" xmlns:xsi="http://www.w3.org/2001/XMLSchema-instance" xsi:type="dcterms:W3CDTF">2026-06-08T08:17:48Z</dcterms:modified>
</cp:coreProperties>
</file>