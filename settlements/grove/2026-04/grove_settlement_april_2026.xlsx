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6622808.993949268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6668141.822437041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6622808.993949268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3682517.178457524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2026-06-23T22:22:00+00:00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798332.6224423209</v>
      </c>
      <c r="O4" s="5" t="n">
        <v>798332.6224423209</v>
      </c>
      <c r="P4" s="5" t="n">
        <v>384433.0580308138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516191.0101208151</v>
      </c>
      <c r="O5" s="5" t="n">
        <v>516191.0101208151</v>
      </c>
      <c r="P5" s="5" t="n">
        <v>622593.9405472864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398550.0415006478</v>
      </c>
      <c r="O6" s="5" t="n">
        <v>398550.0415006478</v>
      </c>
      <c r="P6" s="5" t="n">
        <v>191919.7674318658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313680.5581303178</v>
      </c>
      <c r="O7" s="5" t="n">
        <v>313680.5581303178</v>
      </c>
      <c r="P7" s="5" t="n">
        <v>260600.5418696821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240827.7971568373</v>
      </c>
      <c r="O8" s="5" t="n">
        <v>240827.7971568373</v>
      </c>
      <c r="P8" s="5" t="n">
        <v>1234693.660456107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157488.1758300688</v>
      </c>
      <c r="O9" s="5" t="n">
        <v>157488.1758300688</v>
      </c>
      <c r="P9" s="5" t="n">
        <v>33566.1824813362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155391.1172006485</v>
      </c>
      <c r="O10" s="5" t="n">
        <v>155391.1172006485</v>
      </c>
      <c r="P10" s="5" t="n">
        <v>247351.8427993514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127038.3808062519</v>
      </c>
      <c r="O11" s="5" t="n">
        <v>127038.3808062519</v>
      </c>
      <c r="P11" s="5" t="n">
        <v>9855.923756843762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77743.05393434642</v>
      </c>
      <c r="O12" s="5" t="n">
        <v>77743.05393434642</v>
      </c>
      <c r="P12" s="5" t="n">
        <v>-67077.49877034643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77698.47668418176</v>
      </c>
      <c r="O13" s="5" t="n">
        <v>77698.47668418176</v>
      </c>
      <c r="P13" s="5" t="n">
        <v>-77473.31936794645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62629.98812020096</v>
      </c>
      <c r="O14" s="5" t="n">
        <v>62629.98812020096</v>
      </c>
      <c r="P14" s="5" t="n">
        <v>-12775.30984100639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9693.886890234897</v>
      </c>
      <c r="O15" s="5" t="n">
        <v>9693.886890234897</v>
      </c>
      <c r="P15" s="5" t="n">
        <v>-1173.437623190483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3130.837058675474</v>
      </c>
      <c r="O16" s="5" t="n">
        <v>3130.837058675474</v>
      </c>
      <c r="P16" s="5" t="n">
        <v>313.6963029329585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1864.577018754073</v>
      </c>
      <c r="O17" s="5" t="n">
        <v>1864.577018754073</v>
      </c>
      <c r="P17" s="5" t="n">
        <v>-1864.57701876351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31.29259743899273</v>
      </c>
      <c r="O18" s="5" t="n">
        <v>31.29259743899273</v>
      </c>
      <c r="P18" s="5" t="n">
        <v>-31.29259743899273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3.10782234401297e-09</v>
      </c>
      <c r="O19" s="5" t="n">
        <v>3.10782234401297e-09</v>
      </c>
      <c r="P19" s="5" t="n">
        <v>-3.10782234401297e-09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+ 30bps), period avg</t>
        </is>
      </c>
      <c r="B8" s="6" t="n">
        <v>0.04030997361747411</v>
      </c>
    </row>
    <row r="9">
      <c r="A9" t="inlineStr">
        <is>
          <t>Reference rate (tbill_3m), period avg</t>
        </is>
      </c>
      <c r="B9" s="6" t="n">
        <v>0.03686666666666667</v>
      </c>
    </row>
    <row r="10">
      <c r="A10" t="inlineStr">
        <is>
          <t>Subsidised rate (BR*), period avg</t>
        </is>
      </c>
      <c r="B10" s="6" t="n">
        <v>0.0372972837362202</v>
      </c>
    </row>
    <row r="11">
      <c r="A11" s="7" t="inlineStr">
        <is>
          <t>Effective blended rate charged</t>
        </is>
      </c>
      <c r="B11" s="8" t="n">
        <v>0.03730709608600075</v>
      </c>
    </row>
    <row r="12">
      <c r="A12" s="7" t="inlineStr">
        <is>
          <t>Diff vs base rate (bps)</t>
        </is>
      </c>
      <c r="B12" s="9" t="n">
        <v>-30.02877531473362</v>
      </c>
    </row>
    <row r="13">
      <c r="A13" s="7" t="inlineStr">
        <is>
          <t>Subsidy benefit to prime (USD)</t>
        </is>
      </c>
      <c r="B13" s="10" t="n">
        <v>232061.9088782076</v>
      </c>
    </row>
    <row r="15">
      <c r="A15" t="inlineStr">
        <is>
          <t>CoF at full base rate (no subsidy)</t>
        </is>
      </c>
      <c r="B15" s="3" t="n">
        <v>3172353.724369952</v>
      </c>
    </row>
    <row r="16">
      <c r="A16" t="inlineStr">
        <is>
          <t xml:space="preserve">  − actual CoF (subsidy on first tranche)</t>
        </is>
      </c>
      <c r="B16" s="3" t="n">
        <v>2940291.815491744</v>
      </c>
    </row>
    <row r="17">
      <c r="A17" s="7" t="inlineStr">
        <is>
          <t xml:space="preserve">  = subsidy benefit</t>
        </is>
      </c>
      <c r="B17" s="10" t="n">
        <v>232061.9088782076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3" t="n">
        <v>2930876.164040472</v>
      </c>
    </row>
    <row r="21">
      <c r="A21" t="inlineStr">
        <is>
          <t>Excess (&gt; cap)</t>
        </is>
      </c>
      <c r="B21" s="5" t="n">
        <v>2895347.564487692</v>
      </c>
      <c r="C21" s="3" t="n">
        <v>9415.651451271397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2940291.815491744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9335298.315736787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10336519.98374095</v>
      </c>
    </row>
    <row r="31">
      <c r="A31" t="inlineStr">
        <is>
          <t xml:space="preserve">    ↳ actual CoF on Net_Subs (BR × utilized)</t>
        </is>
      </c>
      <c r="B31" s="3" t="n">
        <v>2940291.815491744</v>
      </c>
    </row>
    <row r="32">
      <c r="A32" t="inlineStr">
        <is>
          <t xml:space="preserve">    ↳ reduction from idle/SDE deductions</t>
        </is>
      </c>
      <c r="B32" s="3" t="n">
        <v>-7396228.168249207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2026-06-26T00:53:16Z</dcterms:created>
  <dcterms:modified xmlns:dcterms="http://purl.org/dc/terms/" xmlns:xsi="http://www.w3.org/2001/XMLSchema-instance" xsi:type="dcterms:W3CDTF">2026-06-26T00:53:16Z</dcterms:modified>
</cp:coreProperties>
</file>