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6622808.993949277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>
        <is>
          <t>+ distribution_rewards (settle-dr-dune)</t>
        </is>
      </c>
      <c r="B6" s="3" t="n">
        <v>125090.17</v>
      </c>
    </row>
    <row r="7">
      <c r="A7" t="inlineStr"/>
      <c r="B7" s="4" t="n">
        <v>6793231.992437051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2946944.561473255</v>
      </c>
    </row>
    <row r="11">
      <c r="A11" t="inlineStr">
        <is>
          <t>+ SDE revenue (Sky-Direct, full to Sky)</t>
        </is>
      </c>
      <c r="B11" s="3" t="n">
        <v>6395006.500245043</v>
      </c>
    </row>
    <row r="12">
      <c r="A12" t="inlineStr"/>
      <c r="B12" s="4" t="n">
        <v>9341951.061718298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2946944.561473255</v>
      </c>
    </row>
    <row r="16">
      <c r="A16" t="inlineStr">
        <is>
          <t>reduction from idle/SDE deductions</t>
        </is>
      </c>
      <c r="B16" s="3" t="n">
        <v>-7396515.160294596</v>
      </c>
    </row>
    <row r="17">
      <c r="A17" t="inlineStr"/>
      <c r="B17" s="4" t="n">
        <v>10343459.72176785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6622808.993949277</v>
      </c>
    </row>
    <row r="21">
      <c r="A21" t="inlineStr">
        <is>
          <t>− CoF (deducted per-venue in display)</t>
        </is>
      </c>
      <c r="B21" s="3" t="n">
        <v>-2946944.561473255</v>
      </c>
    </row>
    <row r="22">
      <c r="A22" t="inlineStr"/>
      <c r="B22" s="4" t="n">
        <v>3675864.432476022</v>
      </c>
    </row>
    <row r="24">
      <c r="A24" t="inlineStr">
        <is>
          <t>Period</t>
        </is>
      </c>
      <c r="B24" t="inlineStr">
        <is>
          <t>2026-04-01 → 2026-04-30 (30 days)</t>
        </is>
      </c>
    </row>
    <row r="25">
      <c r="A25" t="inlineStr">
        <is>
          <t>Pin blocks</t>
        </is>
      </c>
      <c r="B25" t="inlineStr">
        <is>
          <t>avalanche_c=84298393, base=45402126, ethereum=24996367, monad=71616121, plume=65382097</t>
        </is>
      </c>
    </row>
    <row r="26">
      <c r="A26" t="inlineStr">
        <is>
          <t>Generated</t>
        </is>
      </c>
      <c r="B26" t="inlineStr">
        <is>
          <t>2026-07-31T00:11:36+00:00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784474.9963700477</v>
      </c>
      <c r="O4" s="5" t="n">
        <v>784474.9963700477</v>
      </c>
      <c r="P4" s="5" t="n">
        <v>398290.6841030871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166094117.6754281</v>
      </c>
      <c r="M5" s="6" t="n">
        <v>1</v>
      </c>
      <c r="N5" s="5" t="n">
        <v>507230.8576742826</v>
      </c>
      <c r="O5" s="5" t="n">
        <v>507230.8576742826</v>
      </c>
      <c r="P5" s="5" t="n">
        <v>631554.092993819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391631.9258043247</v>
      </c>
      <c r="O6" s="5" t="n">
        <v>391631.9258043247</v>
      </c>
      <c r="P6" s="5" t="n">
        <v>198837.8831281889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308235.6248299428</v>
      </c>
      <c r="O7" s="5" t="n">
        <v>308235.6248299428</v>
      </c>
      <c r="P7" s="5" t="n">
        <v>266045.4751700572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63624.14772730789</v>
      </c>
      <c r="I8" s="5" t="n">
        <v>1411897.309885636</v>
      </c>
      <c r="J8" s="5" t="n">
        <v>1475521.457612944</v>
      </c>
      <c r="K8" s="5" t="n">
        <v>0</v>
      </c>
      <c r="L8" s="5" t="n">
        <v>77490850.66615129</v>
      </c>
      <c r="M8" s="6" t="n">
        <v>1</v>
      </c>
      <c r="N8" s="5" t="n">
        <v>236647.4574500632</v>
      </c>
      <c r="O8" s="5" t="n">
        <v>236647.4574500632</v>
      </c>
      <c r="P8" s="5" t="n">
        <v>1238874.000162881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154754.4628511592</v>
      </c>
      <c r="O9" s="5" t="n">
        <v>154754.4628511592</v>
      </c>
      <c r="P9" s="5" t="n">
        <v>36299.89546024581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152693.8054078125</v>
      </c>
      <c r="O10" s="5" t="n">
        <v>152693.8054078125</v>
      </c>
      <c r="P10" s="5" t="n">
        <v>250049.1545921874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124833.2217928893</v>
      </c>
      <c r="O11" s="5" t="n">
        <v>124833.2217928893</v>
      </c>
      <c r="P11" s="5" t="n">
        <v>12061.08277020638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76393.5736039011</v>
      </c>
      <c r="O12" s="5" t="n">
        <v>76393.5736039011</v>
      </c>
      <c r="P12" s="5" t="n">
        <v>-65728.01843990111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76349.77013504857</v>
      </c>
      <c r="O13" s="5" t="n">
        <v>76349.77013504857</v>
      </c>
      <c r="P13" s="5" t="n">
        <v>-76124.61281881326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61542.84357432796</v>
      </c>
      <c r="O14" s="5" t="n">
        <v>61542.84357432796</v>
      </c>
      <c r="P14" s="5" t="n">
        <v>-11688.16529513339</v>
      </c>
      <c r="Q14" s="5" t="n">
        <v>0</v>
      </c>
      <c r="R14" s="5" t="n">
        <v>0</v>
      </c>
      <c r="S14" t="inlineStr"/>
    </row>
    <row r="15">
      <c r="A15" t="inlineStr">
        <is>
          <t>E13</t>
        </is>
      </c>
      <c r="B15" t="inlineStr">
        <is>
          <t>RLUSD raw (ALM idle)</t>
        </is>
      </c>
      <c r="C15" t="inlineStr">
        <is>
          <t>ethereum</t>
        </is>
      </c>
      <c r="D15" t="inlineStr">
        <is>
          <t>A</t>
        </is>
      </c>
      <c r="E15" s="5" t="n">
        <v>0</v>
      </c>
      <c r="F15" s="5" t="n">
        <v>0</v>
      </c>
      <c r="G15" s="5" t="n">
        <v>0</v>
      </c>
      <c r="H15" s="5" t="n">
        <v>3.096e-20</v>
      </c>
      <c r="I15" s="5" t="n">
        <v>0</v>
      </c>
      <c r="J15" s="5" t="n">
        <v>3.096e-20</v>
      </c>
      <c r="K15" s="5" t="n">
        <v>0</v>
      </c>
      <c r="L15" s="5" t="n">
        <v>18891058.29432581</v>
      </c>
      <c r="M15" s="6" t="n">
        <v>1</v>
      </c>
      <c r="N15" s="5" t="n">
        <v>57690.95158282855</v>
      </c>
      <c r="O15" s="5" t="n">
        <v>57690.95158282855</v>
      </c>
      <c r="P15" s="5" t="n">
        <v>-57690.95158282855</v>
      </c>
      <c r="Q15" s="5" t="n">
        <v>0</v>
      </c>
      <c r="R15" s="5" t="n">
        <v>0</v>
      </c>
      <c r="S15" t="inlineStr"/>
    </row>
    <row r="16">
      <c r="A16" t="inlineStr">
        <is>
          <t>E4</t>
        </is>
      </c>
      <c r="B16" t="inlineStr">
        <is>
          <t>Grove x Steakhouse USDC (Morpho 4626)</t>
        </is>
      </c>
      <c r="C16" t="inlineStr">
        <is>
          <t>ethereum</t>
        </is>
      </c>
      <c r="D16" t="inlineStr">
        <is>
          <t>B</t>
        </is>
      </c>
      <c r="E16" s="5" t="n">
        <v>3954260.398216645</v>
      </c>
      <c r="F16" s="5" t="n">
        <v>5004060.193602587</v>
      </c>
      <c r="G16" s="5" t="n">
        <v>1049799.795385942</v>
      </c>
      <c r="H16" s="5" t="n">
        <v>8520.449267044414</v>
      </c>
      <c r="I16" s="5" t="n">
        <v>0</v>
      </c>
      <c r="J16" s="5" t="n">
        <v>8520.449267044414</v>
      </c>
      <c r="K16" s="5" t="n">
        <v>0</v>
      </c>
      <c r="L16" s="5" t="n">
        <v>3119189.521534131</v>
      </c>
      <c r="M16" s="6" t="n">
        <v>1</v>
      </c>
      <c r="N16" s="5" t="n">
        <v>9525.618356624407</v>
      </c>
      <c r="O16" s="5" t="n">
        <v>9525.618356624407</v>
      </c>
      <c r="P16" s="5" t="n">
        <v>-1005.169089579991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1007405.415147632</v>
      </c>
      <c r="F17" s="5" t="n">
        <v>1010849.948509241</v>
      </c>
      <c r="G17" s="5" t="n">
        <v>3444.533361608432</v>
      </c>
      <c r="H17" s="5" t="n">
        <v>3444.533361608432</v>
      </c>
      <c r="I17" s="5" t="n">
        <v>0</v>
      </c>
      <c r="J17" s="5" t="n">
        <v>3444.533361608432</v>
      </c>
      <c r="K17" s="5" t="n">
        <v>0</v>
      </c>
      <c r="L17" s="5" t="n">
        <v>1007405.415147632</v>
      </c>
      <c r="M17" s="6" t="n">
        <v>1</v>
      </c>
      <c r="N17" s="5" t="n">
        <v>3076.491328546582</v>
      </c>
      <c r="O17" s="5" t="n">
        <v>3076.491328546582</v>
      </c>
      <c r="P17" s="5" t="n">
        <v>368.04203306185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9999494.265490999</v>
      </c>
      <c r="F18" s="5" t="n">
        <v>0</v>
      </c>
      <c r="G18" s="5" t="n">
        <v>-9999494.265490999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599962.5500943046</v>
      </c>
      <c r="M18" s="6" t="n">
        <v>1</v>
      </c>
      <c r="N18" s="5" t="n">
        <v>1832.211297521494</v>
      </c>
      <c r="O18" s="5" t="n">
        <v>1832.211297521494</v>
      </c>
      <c r="P18" s="5" t="n">
        <v>-1832.211297521494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30.74941393133009</v>
      </c>
      <c r="O19" s="5" t="n">
        <v>30.74941393133009</v>
      </c>
      <c r="P19" s="5" t="n">
        <v>-30.74941393133009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3.05387610815625e-09</v>
      </c>
      <c r="O20" s="5" t="n">
        <v>3.05387610815625e-09</v>
      </c>
      <c r="P20" s="5" t="n">
        <v>-3.05387610815625e-09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976625153.4840184</v>
      </c>
    </row>
    <row r="6">
      <c r="A6" t="inlineStr">
        <is>
          <t xml:space="preserve">  — first $1B (subsidised tranche)</t>
        </is>
      </c>
      <c r="B6" s="5" t="n">
        <v>973729805.9195307</v>
      </c>
    </row>
    <row r="7">
      <c r="A7" t="inlineStr">
        <is>
          <t xml:space="preserve">  — excess (full base-rate tranche)</t>
        </is>
      </c>
      <c r="B7" s="5" t="n">
        <v>2895347.564487692</v>
      </c>
    </row>
    <row r="8">
      <c r="A8" t="inlineStr">
        <is>
          <t>Base rate (BR = SSR + 30bps), period avg</t>
        </is>
      </c>
      <c r="B8" s="6" t="n">
        <v>0.04030997361747411</v>
      </c>
    </row>
    <row r="9">
      <c r="A9" t="inlineStr">
        <is>
          <t>Reference rate (tbill_3m), period avg</t>
        </is>
      </c>
      <c r="B9" s="6" t="n">
        <v>0.03696666666666667</v>
      </c>
    </row>
    <row r="10">
      <c r="A10" t="inlineStr">
        <is>
          <t>Subsidised rate (BR*), period avg</t>
        </is>
      </c>
      <c r="B10" s="6" t="n">
        <v>0.03738478373622021</v>
      </c>
    </row>
    <row r="11">
      <c r="A11" s="7" t="inlineStr">
        <is>
          <t>Effective blended rate charged</t>
        </is>
      </c>
      <c r="B11" s="8" t="n">
        <v>0.03739298437091029</v>
      </c>
    </row>
    <row r="12">
      <c r="A12" s="7" t="inlineStr">
        <is>
          <t>Diff vs base rate (bps)</t>
        </is>
      </c>
      <c r="B12" s="9" t="n">
        <v>-29.16989246563823</v>
      </c>
    </row>
    <row r="13">
      <c r="A13" s="7" t="inlineStr">
        <is>
          <t>Subsidy benefit to prime (USD)</t>
        </is>
      </c>
      <c r="B13" s="10" t="n">
        <v>225409.1628966965</v>
      </c>
    </row>
    <row r="15">
      <c r="A15" t="inlineStr">
        <is>
          <t>CoF at full base rate (no subsidy)</t>
        </is>
      </c>
      <c r="B15" s="3" t="n">
        <v>3172353.724369952</v>
      </c>
    </row>
    <row r="16">
      <c r="A16" t="inlineStr">
        <is>
          <t xml:space="preserve">  − actual CoF (subsidy on first tranche)</t>
        </is>
      </c>
      <c r="B16" s="3" t="n">
        <v>2946944.561473255</v>
      </c>
    </row>
    <row r="17">
      <c r="A17" s="7" t="inlineStr">
        <is>
          <t xml:space="preserve">  = subsidy benefit</t>
        </is>
      </c>
      <c r="B17" s="10" t="n">
        <v>225409.1628966965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973729805.9195307</v>
      </c>
      <c r="C20" s="3" t="n">
        <v>2937528.910021984</v>
      </c>
    </row>
    <row r="21">
      <c r="A21" t="inlineStr">
        <is>
          <t>Excess (&gt; cap)</t>
        </is>
      </c>
      <c r="B21" s="5" t="n">
        <v>2895347.564487692</v>
      </c>
      <c r="C21" s="3" t="n">
        <v>9415.651451271397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2946944.561473255</v>
      </c>
    </row>
    <row r="25">
      <c r="A25" t="inlineStr">
        <is>
          <t>+ Sky-Direct revenue (full venue yield on fixed/capped SDE)</t>
        </is>
      </c>
      <c r="B25" s="3" t="n">
        <v>6395006.500245043</v>
      </c>
    </row>
    <row r="26">
      <c r="A26" t="inlineStr">
        <is>
          <t>equals sky_revenue (total Sky take this month)</t>
        </is>
      </c>
      <c r="B26" s="3" t="n">
        <v>9341951.061718298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10343459.72176785</v>
      </c>
    </row>
    <row r="31">
      <c r="A31" t="inlineStr">
        <is>
          <t xml:space="preserve">    ↳ actual CoF on Net_Subs (BR × utilized)</t>
        </is>
      </c>
      <c r="B31" s="3" t="n">
        <v>2946944.561473255</v>
      </c>
    </row>
    <row r="32">
      <c r="A32" t="inlineStr">
        <is>
          <t xml:space="preserve">    ↳ reduction from idle/SDE deductions</t>
        </is>
      </c>
      <c r="B32" s="3" t="n">
        <v>-7396515.160294596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3 (SoM) → 3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0.037</v>
      </c>
      <c r="M6" s="6" t="n">
        <v>0.03745156294576948</v>
      </c>
      <c r="N6" s="3" t="n">
        <v>99358.3041616807</v>
      </c>
      <c r="O6" s="3" t="n">
        <v>308226.8939083866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0.037</v>
      </c>
      <c r="M7" s="6" t="n">
        <v>0.03745156294576948</v>
      </c>
      <c r="N7" s="3" t="n">
        <v>98333.97464522987</v>
      </c>
      <c r="O7" s="3" t="n">
        <v>312589.8703373055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0.0371</v>
      </c>
      <c r="M8" s="6" t="n">
        <v>0.03753906294576947</v>
      </c>
      <c r="N8" s="3" t="n">
        <v>98514.87317923989</v>
      </c>
      <c r="O8" s="3" t="n">
        <v>312820.9559157559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0.0371</v>
      </c>
      <c r="M9" s="6" t="n">
        <v>0.03753906294576947</v>
      </c>
      <c r="N9" s="3" t="n">
        <v>95990.66195730185</v>
      </c>
      <c r="O9" s="3" t="n">
        <v>312820.9559157559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0.0371</v>
      </c>
      <c r="M10" s="6" t="n">
        <v>0.03753906294576947</v>
      </c>
      <c r="N10" s="3" t="n">
        <v>95990.66195730185</v>
      </c>
      <c r="O10" s="3" t="n">
        <v>312820.9559157559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0.0371</v>
      </c>
      <c r="M12" s="6" t="n">
        <v>0.03753906294576947</v>
      </c>
      <c r="N12" s="3" t="n">
        <v>100994.3864748262</v>
      </c>
      <c r="O12" s="3" t="n">
        <v>329182.0464833644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0.0369</v>
      </c>
      <c r="M13" s="6" t="n">
        <v>0.03736406294576947</v>
      </c>
      <c r="N13" s="3" t="n">
        <v>98196.56420288843</v>
      </c>
      <c r="O13" s="3" t="n">
        <v>334391.6535359005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0.0368</v>
      </c>
      <c r="M14" s="6" t="n">
        <v>0.03727656294576948</v>
      </c>
      <c r="N14" s="3" t="n">
        <v>98148.6761589438</v>
      </c>
      <c r="O14" s="3" t="n">
        <v>337105.500934389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0.0369</v>
      </c>
      <c r="M15" s="6" t="n">
        <v>0.03736406294576947</v>
      </c>
      <c r="N15" s="3" t="n">
        <v>98115.03174753163</v>
      </c>
      <c r="O15" s="3" t="n">
        <v>345260.0639987424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0.0369</v>
      </c>
      <c r="M16" s="6" t="n">
        <v>0.03736406294576947</v>
      </c>
      <c r="N16" s="3" t="n">
        <v>98115.03174753163</v>
      </c>
      <c r="O16" s="3" t="n">
        <v>345260.0639987424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0.0369</v>
      </c>
      <c r="M17" s="6" t="n">
        <v>0.03736406294576947</v>
      </c>
      <c r="N17" s="3" t="n">
        <v>98115.03174753163</v>
      </c>
      <c r="O17" s="3" t="n">
        <v>345260.0639987424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</v>
      </c>
      <c r="M21" s="6" t="n">
        <v>0.03745156294576948</v>
      </c>
      <c r="N21" s="3" t="n">
        <v>97397.89477351782</v>
      </c>
      <c r="O21" s="3" t="n">
        <v>368597.4753047682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</v>
      </c>
      <c r="M22" s="6" t="n">
        <v>0.03745156294576948</v>
      </c>
      <c r="N22" s="3" t="n">
        <v>96161.03863409584</v>
      </c>
      <c r="O22" s="3" t="n">
        <v>367289.1413741605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</v>
      </c>
      <c r="M23" s="6" t="n">
        <v>0.03745156294576948</v>
      </c>
      <c r="N23" s="3" t="n">
        <v>95555.583024445</v>
      </c>
      <c r="O23" s="3" t="n">
        <v>366633.5864070128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</v>
      </c>
      <c r="M24" s="6" t="n">
        <v>0.03745156294576948</v>
      </c>
      <c r="N24" s="3" t="n">
        <v>97066.64347393114</v>
      </c>
      <c r="O24" s="3" t="n">
        <v>368269.6818821088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0.0369</v>
      </c>
      <c r="M26" s="6" t="n">
        <v>0.03736406294576947</v>
      </c>
      <c r="N26" s="3" t="n">
        <v>97350.55866490623</v>
      </c>
      <c r="O26" s="3" t="n">
        <v>368693.0391832952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0.0369</v>
      </c>
      <c r="M27" s="6" t="n">
        <v>0.03723868780282747</v>
      </c>
      <c r="N27" s="3" t="n">
        <v>97506.95023874096</v>
      </c>
      <c r="O27" s="3" t="n">
        <v>362397.2753610751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0.0369</v>
      </c>
      <c r="M28" s="6" t="n">
        <v>0.03723868780282747</v>
      </c>
      <c r="N28" s="3" t="n">
        <v>102530.6145370527</v>
      </c>
      <c r="O28" s="3" t="n">
        <v>362290.8530889255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0.0369</v>
      </c>
      <c r="M29" s="6" t="n">
        <v>0.03723868780282747</v>
      </c>
      <c r="N29" s="3" t="n">
        <v>97454.38033009223</v>
      </c>
      <c r="O29" s="3" t="n">
        <v>351747.3693731471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0.0369</v>
      </c>
      <c r="M30" s="6" t="n">
        <v>0.03723868780282747</v>
      </c>
      <c r="N30" s="3" t="n">
        <v>97554.55541363943</v>
      </c>
      <c r="O30" s="3" t="n">
        <v>351853.8001439075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0.0369</v>
      </c>
      <c r="M31" s="6" t="n">
        <v>0.03723868780282747</v>
      </c>
      <c r="N31" s="3" t="n">
        <v>97654.73049718664</v>
      </c>
      <c r="O31" s="3" t="n">
        <v>351960.2309146678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2946944.561473255</v>
      </c>
      <c r="O37" s="10" t="n">
        <v>10343459.72176785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2026-07-31T00:11:37Z</dcterms:created>
  <dcterms:modified xsi:type="dcterms:W3CDTF">2026-07-31T00:11:37Z</dcterms:modified>
</cp:coreProperties>
</file>