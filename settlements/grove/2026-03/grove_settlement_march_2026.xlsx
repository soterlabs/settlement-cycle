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  <sheet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1056301.360503091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>
        <is>
          <t>+ distribution_rewards (settle-dr-dune)</t>
        </is>
      </c>
      <c r="B6" s="3" t="n">
        <v>191719.25</v>
      </c>
    </row>
    <row r="7">
      <c r="A7" t="inlineStr"/>
      <c r="B7" s="4" t="n">
        <v>1254307.729948561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3122471.434353372</v>
      </c>
    </row>
    <row r="11">
      <c r="A11" t="inlineStr">
        <is>
          <t>+ SDE revenue (Sky-Direct, full to Sky)</t>
        </is>
      </c>
      <c r="B11" s="3" t="n">
        <v>3251383.753143241</v>
      </c>
    </row>
    <row r="12">
      <c r="A12" t="inlineStr"/>
      <c r="B12" s="4" t="n">
        <v>6373855.187496614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3122471.434353372</v>
      </c>
    </row>
    <row r="16">
      <c r="A16" t="inlineStr">
        <is>
          <t>reduction from idle/SDE deductions</t>
        </is>
      </c>
      <c r="B16" s="3" t="n">
        <v>-4917768.039640422</v>
      </c>
    </row>
    <row r="17">
      <c r="A17" t="inlineStr"/>
      <c r="B17" s="4" t="n">
        <v>8040239.473993795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1056301.360503091</v>
      </c>
    </row>
    <row r="21">
      <c r="A21" t="inlineStr">
        <is>
          <t>− CoF (deducted per-venue in display)</t>
        </is>
      </c>
      <c r="B21" s="3" t="n">
        <v>-3122471.434353372</v>
      </c>
    </row>
    <row r="22">
      <c r="A22" t="inlineStr"/>
      <c r="B22" s="4" t="n">
        <v>-2066170.073850281</v>
      </c>
    </row>
    <row r="24">
      <c r="A24" t="inlineStr">
        <is>
          <t>Period</t>
        </is>
      </c>
      <c r="B24" t="inlineStr">
        <is>
          <t>2026-03-01 → 2026-03-31 (31 days)</t>
        </is>
      </c>
    </row>
    <row r="25">
      <c r="A25" t="inlineStr">
        <is>
          <t>Pin blocks</t>
        </is>
      </c>
      <c r="B25" t="inlineStr">
        <is>
          <t>avalanche_c=81789468, base=44106126, ethereum=24781026, monad=4, plume=58679343</t>
        </is>
      </c>
    </row>
    <row r="26">
      <c r="A26" t="inlineStr">
        <is>
          <t>Generated</t>
        </is>
      </c>
      <c r="B26" t="inlineStr">
        <is>
          <t>2026-07-31T00:10:03+00:00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814595.3898297144</v>
      </c>
      <c r="O4" s="5" t="n">
        <v>814595.3898297144</v>
      </c>
      <c r="P4" s="5" t="n">
        <v>-829044.0060893835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574029.9124593227</v>
      </c>
      <c r="O5" s="5" t="n">
        <v>574029.9124593227</v>
      </c>
      <c r="P5" s="5" t="n">
        <v>-430221.0637977936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429141.3506907143</v>
      </c>
      <c r="O6" s="5" t="n">
        <v>429141.3506907143</v>
      </c>
      <c r="P6" s="5" t="n">
        <v>-285936.2149695218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319646.876323876</v>
      </c>
      <c r="O7" s="5" t="n">
        <v>319646.876323876</v>
      </c>
      <c r="P7" s="5" t="n">
        <v>-191723.076323876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161801.7476598821</v>
      </c>
      <c r="O8" s="5" t="n">
        <v>161801.7476598821</v>
      </c>
      <c r="P8" s="5" t="n">
        <v>-513251.7413390032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158547.6588984386</v>
      </c>
      <c r="O9" s="5" t="n">
        <v>158547.6588984386</v>
      </c>
      <c r="P9" s="5" t="n">
        <v>205036.4211015615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79299.32063873248</v>
      </c>
      <c r="O10" s="5" t="n">
        <v>79299.32063873248</v>
      </c>
      <c r="P10" s="5" t="n">
        <v>-72055.77556473248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79275.23981720538</v>
      </c>
      <c r="O11" s="5" t="n">
        <v>79275.23981720538</v>
      </c>
      <c r="P11" s="5" t="n">
        <v>-78781.06902390641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409513.3439406063</v>
      </c>
      <c r="O12" s="5" t="n">
        <v>-67901.03928145133</v>
      </c>
      <c r="P12" s="5" t="n">
        <v>-409513.3439406063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59346.63541956928</v>
      </c>
      <c r="O13" s="5" t="n">
        <v>59346.63541956928</v>
      </c>
      <c r="P13" s="5" t="n">
        <v>-19303.05791779707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16347.37661060362</v>
      </c>
      <c r="O14" s="5" t="n">
        <v>16347.37661060362</v>
      </c>
      <c r="P14" s="5" t="n">
        <v>209.7863714581444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15033.26668962752</v>
      </c>
      <c r="O15" s="5" t="n">
        <v>15033.26668962752</v>
      </c>
      <c r="P15" s="5" t="n">
        <v>-1857.847261538047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3184.443183378462</v>
      </c>
      <c r="O16" s="5" t="n">
        <v>3184.443183378462</v>
      </c>
      <c r="P16" s="5" t="n">
        <v>-33.27105119538358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1654.107554120663</v>
      </c>
      <c r="O17" s="5" t="n">
        <v>1654.107554120663</v>
      </c>
      <c r="P17" s="5" t="n">
        <v>96.43059363312064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322564.3267813226</v>
      </c>
      <c r="M18" s="6" t="n">
        <v>1</v>
      </c>
      <c r="N18" s="5" t="n">
        <v>1022.836377106592</v>
      </c>
      <c r="O18" s="5" t="n">
        <v>1022.836377106592</v>
      </c>
      <c r="P18" s="5" t="n">
        <v>-1022.836377106592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31.92826047062404</v>
      </c>
      <c r="O19" s="5" t="n">
        <v>31.92826047062404</v>
      </c>
      <c r="P19" s="5" t="n">
        <v>-31.92826047062404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3.170953177968772e-09</v>
      </c>
      <c r="O20" s="5" t="n">
        <v>3.170953177968772e-09</v>
      </c>
      <c r="P20" s="5" t="n">
        <v>-3.170953177968772e-09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0.03717741935483871</v>
      </c>
    </row>
    <row r="10">
      <c r="A10" t="inlineStr">
        <is>
          <t>Subsidised rate (BR*), period avg</t>
        </is>
      </c>
      <c r="B10" s="6" t="n">
        <v>0.03751760106772383</v>
      </c>
    </row>
    <row r="11">
      <c r="A11" s="7" t="inlineStr">
        <is>
          <t>Effective blended rate charged</t>
        </is>
      </c>
      <c r="B11" s="8" t="n">
        <v>0.03759893383144367</v>
      </c>
    </row>
    <row r="12">
      <c r="A12" s="7" t="inlineStr">
        <is>
          <t>Diff vs base rate (bps)</t>
        </is>
      </c>
      <c r="B12" s="9" t="n">
        <v>-36.8835054410062</v>
      </c>
    </row>
    <row r="13">
      <c r="A13" s="7" t="inlineStr">
        <is>
          <t>Subsidy benefit to prime (USD)</t>
        </is>
      </c>
      <c r="B13" s="10" t="n">
        <v>300174.2874459205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3122471.434353372</v>
      </c>
    </row>
    <row r="17">
      <c r="A17" s="7" t="inlineStr">
        <is>
          <t xml:space="preserve">  = subsidy benefit</t>
        </is>
      </c>
      <c r="B17" s="10" t="n">
        <v>300174.2874459205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3059199.772894514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3122471.434353372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6373855.187496614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8040239.473993795</v>
      </c>
    </row>
    <row r="31">
      <c r="A31" t="inlineStr">
        <is>
          <t xml:space="preserve">    ↳ actual CoF on Net_Subs (BR × utilized)</t>
        </is>
      </c>
      <c r="B31" s="3" t="n">
        <v>3122471.434353372</v>
      </c>
    </row>
    <row r="32">
      <c r="A32" t="inlineStr">
        <is>
          <t xml:space="preserve">    ↳ reduction from idle/SDE deductions</t>
        </is>
      </c>
      <c r="B32" s="3" t="n">
        <v>-4917768.039640422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0.0372</v>
      </c>
      <c r="M7" s="6" t="n">
        <v>0.0376933334913717</v>
      </c>
      <c r="N7" s="3" t="n">
        <v>108139.5666808547</v>
      </c>
      <c r="O7" s="3" t="n">
        <v>266228.3511358572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0.0371</v>
      </c>
      <c r="M8" s="6" t="n">
        <v>0.03760166682470503</v>
      </c>
      <c r="N8" s="3" t="n">
        <v>107887.2433171195</v>
      </c>
      <c r="O8" s="3" t="n">
        <v>265986.2968912093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0.0371</v>
      </c>
      <c r="M9" s="6" t="n">
        <v>0.03760166682470503</v>
      </c>
      <c r="N9" s="3" t="n">
        <v>109032.3046835383</v>
      </c>
      <c r="O9" s="3" t="n">
        <v>267142.9726563664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0.037</v>
      </c>
      <c r="M10" s="6" t="n">
        <v>0.03751000015803836</v>
      </c>
      <c r="N10" s="3" t="n">
        <v>107160.1861018527</v>
      </c>
      <c r="O10" s="3" t="n">
        <v>265282.1293516629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0.0369</v>
      </c>
      <c r="M11" s="6" t="n">
        <v>0.0374183334913717</v>
      </c>
      <c r="N11" s="3" t="n">
        <v>101123.8384806092</v>
      </c>
      <c r="O11" s="3" t="n">
        <v>259257.4198314138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0.0369</v>
      </c>
      <c r="M12" s="6" t="n">
        <v>0.0374183334913717</v>
      </c>
      <c r="N12" s="3" t="n">
        <v>101123.8384806092</v>
      </c>
      <c r="O12" s="3" t="n">
        <v>259257.4198314138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0.0369</v>
      </c>
      <c r="M13" s="6" t="n">
        <v>0.0374183334913717</v>
      </c>
      <c r="N13" s="3" t="n">
        <v>101123.8384806092</v>
      </c>
      <c r="O13" s="3" t="n">
        <v>259257.4198314138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0.0371</v>
      </c>
      <c r="M14" s="6" t="n">
        <v>0.03739270863051299</v>
      </c>
      <c r="N14" s="3" t="n">
        <v>98953.09423859511</v>
      </c>
      <c r="O14" s="3" t="n">
        <v>247966.0219872215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0.0371</v>
      </c>
      <c r="M15" s="6" t="n">
        <v>0.03739270863051299</v>
      </c>
      <c r="N15" s="3" t="n">
        <v>104158.4469416064</v>
      </c>
      <c r="O15" s="3" t="n">
        <v>253318.7977483803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0.0371</v>
      </c>
      <c r="M16" s="6" t="n">
        <v>0.03739270863051299</v>
      </c>
      <c r="N16" s="3" t="n">
        <v>76526.17433897371</v>
      </c>
      <c r="O16" s="3" t="n">
        <v>223666.3589334998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0.0372</v>
      </c>
      <c r="M17" s="6" t="n">
        <v>0.03748437529717965</v>
      </c>
      <c r="N17" s="3" t="n">
        <v>109630.2424637236</v>
      </c>
      <c r="O17" s="3" t="n">
        <v>228816.7864117863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0.0372</v>
      </c>
      <c r="M18" s="6" t="n">
        <v>0.03748437529717965</v>
      </c>
      <c r="N18" s="3" t="n">
        <v>98871.77232365517</v>
      </c>
      <c r="O18" s="3" t="n">
        <v>233787.244465128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0.0372</v>
      </c>
      <c r="M19" s="6" t="n">
        <v>0.03748437529717965</v>
      </c>
      <c r="N19" s="3" t="n">
        <v>98871.77232365517</v>
      </c>
      <c r="O19" s="3" t="n">
        <v>233787.244465128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0.0372</v>
      </c>
      <c r="M20" s="6" t="n">
        <v>0.03748437529717965</v>
      </c>
      <c r="N20" s="3" t="n">
        <v>98871.77232365517</v>
      </c>
      <c r="O20" s="3" t="n">
        <v>233787.244465128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0.0372</v>
      </c>
      <c r="M21" s="6" t="n">
        <v>0.03748437529717965</v>
      </c>
      <c r="N21" s="3" t="n">
        <v>104128.423511205</v>
      </c>
      <c r="O21" s="3" t="n">
        <v>239240.8960487814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0.0372</v>
      </c>
      <c r="M22" s="6" t="n">
        <v>0.03748437529717965</v>
      </c>
      <c r="N22" s="3" t="n">
        <v>105098.3227112391</v>
      </c>
      <c r="O22" s="3" t="n">
        <v>245676.2316004977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0.0373</v>
      </c>
      <c r="M23" s="6" t="n">
        <v>0.03757604196384631</v>
      </c>
      <c r="N23" s="3" t="n">
        <v>105326.9760497937</v>
      </c>
      <c r="O23" s="3" t="n">
        <v>251371.964717859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0.0373</v>
      </c>
      <c r="M24" s="6" t="n">
        <v>0.03757604196384631</v>
      </c>
      <c r="N24" s="3" t="n">
        <v>99951.87154193679</v>
      </c>
      <c r="O24" s="3" t="n">
        <v>251373.0552300297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0.0374</v>
      </c>
      <c r="M25" s="6" t="n">
        <v>0.03766770863051298</v>
      </c>
      <c r="N25" s="3" t="n">
        <v>95116.348521183</v>
      </c>
      <c r="O25" s="3" t="n">
        <v>251615.1154361312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0.0374</v>
      </c>
      <c r="M26" s="6" t="n">
        <v>0.03766770863051298</v>
      </c>
      <c r="N26" s="3" t="n">
        <v>95116.348521183</v>
      </c>
      <c r="O26" s="3" t="n">
        <v>251615.1154361312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0.0374</v>
      </c>
      <c r="M27" s="6" t="n">
        <v>0.03766770863051298</v>
      </c>
      <c r="N27" s="3" t="n">
        <v>96534.66281740686</v>
      </c>
      <c r="O27" s="3" t="n">
        <v>253142.1378795541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0.0374</v>
      </c>
      <c r="M28" s="6" t="n">
        <v>0.03766770863051298</v>
      </c>
      <c r="N28" s="3" t="n">
        <v>101687.3473740235</v>
      </c>
      <c r="O28" s="3" t="n">
        <v>264158.514078534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0.0374</v>
      </c>
      <c r="M29" s="6" t="n">
        <v>0.03766770863051298</v>
      </c>
      <c r="N29" s="3" t="n">
        <v>99112.38208687022</v>
      </c>
      <c r="O29" s="3" t="n">
        <v>269612.1656621874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0.0373</v>
      </c>
      <c r="M30" s="6" t="n">
        <v>0.03757604196384631</v>
      </c>
      <c r="N30" s="3" t="n">
        <v>98863.03518464576</v>
      </c>
      <c r="O30" s="3" t="n">
        <v>274823.7570397393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0.0373</v>
      </c>
      <c r="M31" s="6" t="n">
        <v>0.03757604196384631</v>
      </c>
      <c r="N31" s="3" t="n">
        <v>96716.04091169375</v>
      </c>
      <c r="O31" s="3" t="n">
        <v>277977.4383596529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0.0373</v>
      </c>
      <c r="M32" s="6" t="n">
        <v>0.03757604196384631</v>
      </c>
      <c r="N32" s="3" t="n">
        <v>97713.03258851371</v>
      </c>
      <c r="O32" s="3" t="n">
        <v>284521.820260037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0.0373</v>
      </c>
      <c r="M33" s="6" t="n">
        <v>0.03757604196384631</v>
      </c>
      <c r="N33" s="3" t="n">
        <v>98218.36310756316</v>
      </c>
      <c r="O33" s="3" t="n">
        <v>285067.1854184024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0.0373</v>
      </c>
      <c r="M34" s="6" t="n">
        <v>0.03757604196384631</v>
      </c>
      <c r="N34" s="3" t="n">
        <v>98218.36310756316</v>
      </c>
      <c r="O34" s="3" t="n">
        <v>285067.1854184024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0.0371</v>
      </c>
      <c r="M35" s="6" t="n">
        <v>0.03739270863051299</v>
      </c>
      <c r="N35" s="3" t="n">
        <v>103491.4583414762</v>
      </c>
      <c r="O35" s="3" t="n">
        <v>296073.5070987574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0.037</v>
      </c>
      <c r="M36" s="6" t="n">
        <v>0.03730104196384632</v>
      </c>
      <c r="N36" s="3" t="n">
        <v>98885.35514591001</v>
      </c>
      <c r="O36" s="3" t="n">
        <v>302266.7102778634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3122471.434353372</v>
      </c>
      <c r="O38" s="10" t="n">
        <v>8040239.473993795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2026-07-31T00:10:04Z</dcterms:created>
  <dcterms:modified xsi:type="dcterms:W3CDTF">2026-07-31T00:10:04Z</dcterms:modified>
</cp:coreProperties>
</file>