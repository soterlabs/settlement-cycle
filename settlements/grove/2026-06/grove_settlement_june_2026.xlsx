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2893733.700012341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3015814.653387762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3291039.781244973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8000065.958971297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3291039.781244973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8225450.871941987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2893733.700012341</v>
      </c>
    </row>
    <row r="21">
      <c r="A21" t="inlineStr">
        <is>
          <t>− CoF (deducted per-venue in display)</t>
        </is>
      </c>
      <c r="B21" s="3" t="n">
        <v>-3291039.781244973</v>
      </c>
    </row>
    <row r="22">
      <c r="A22" t="inlineStr"/>
      <c r="B22" s="4" t="n">
        <v>-397306.081232632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2026-07-07T14:51:44+00:00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782055.9689570594</v>
      </c>
      <c r="O4" s="5" t="n">
        <v>782055.9689570594</v>
      </c>
      <c r="P4" s="5" t="n">
        <v>-8986.801160020979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575562.0483953619</v>
      </c>
      <c r="O5" s="5" t="n">
        <v>575562.0483953619</v>
      </c>
      <c r="P5" s="5" t="n">
        <v>-287129.0676622425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437270.8242774927</v>
      </c>
      <c r="O6" s="5" t="n">
        <v>437270.8242774927</v>
      </c>
      <c r="P6" s="5" t="n">
        <v>77122.49646046347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390424.2794565052</v>
      </c>
      <c r="O7" s="5" t="n">
        <v>390424.2794565052</v>
      </c>
      <c r="P7" s="5" t="n">
        <v>-4486.463254284972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307805.295322295</v>
      </c>
      <c r="O8" s="5" t="n">
        <v>307805.295322295</v>
      </c>
      <c r="P8" s="5" t="n">
        <v>-208005.495322295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302719.7049775741</v>
      </c>
      <c r="O9" s="5" t="n">
        <v>302719.7049775741</v>
      </c>
      <c r="P9" s="5" t="n">
        <v>93309.08413497066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139799.4995499541</v>
      </c>
      <c r="O10" s="5" t="n">
        <v>139799.4995499541</v>
      </c>
      <c r="P10" s="5" t="n">
        <v>231939.1904500459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98837.15746900917</v>
      </c>
      <c r="O11" s="5" t="n">
        <v>98837.15746900917</v>
      </c>
      <c r="P11" s="5" t="n">
        <v>-98837.15746900917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75642.45658180301</v>
      </c>
      <c r="O12" s="5" t="n">
        <v>75642.45658180301</v>
      </c>
      <c r="P12" s="5" t="n">
        <v>-5545.023699274447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75584.27174506056</v>
      </c>
      <c r="O13" s="5" t="n">
        <v>75584.27174506056</v>
      </c>
      <c r="P13" s="5" t="n">
        <v>-62853.34724506056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75476.44776437488</v>
      </c>
      <c r="O14" s="5" t="n">
        <v>75476.44776437488</v>
      </c>
      <c r="P14" s="5" t="n">
        <v>-75142.52043756651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17204.59814940382</v>
      </c>
      <c r="O15" s="5" t="n">
        <v>17204.59814940382</v>
      </c>
      <c r="P15" s="5" t="n">
        <v>1431.675298371111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10610.90958301088</v>
      </c>
      <c r="O16" s="5" t="n">
        <v>10610.90958301088</v>
      </c>
      <c r="P16" s="5" t="n">
        <v>1519.666987105928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-1.60325e-09</v>
      </c>
      <c r="I17" s="5" t="n">
        <v>0</v>
      </c>
      <c r="J17" s="5" t="n">
        <v>-1.60325e-09</v>
      </c>
      <c r="K17" s="5" t="n">
        <v>0</v>
      </c>
      <c r="L17" s="5" t="n">
        <v>618174.3186537673</v>
      </c>
      <c r="M17" s="6" t="n">
        <v>1</v>
      </c>
      <c r="N17" s="5" t="n">
        <v>1866.196282294363</v>
      </c>
      <c r="O17" s="5" t="n">
        <v>1866.196282294363</v>
      </c>
      <c r="P17" s="5" t="n">
        <v>-1866.196282295967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49596</v>
      </c>
      <c r="F18" s="5" t="n">
        <v>0</v>
      </c>
      <c r="G18" s="5" t="n">
        <v>-49596</v>
      </c>
      <c r="H18" s="5" t="n">
        <v>-49596</v>
      </c>
      <c r="I18" s="5" t="n">
        <v>0</v>
      </c>
      <c r="J18" s="5" t="n">
        <v>-49596</v>
      </c>
      <c r="K18" s="5" t="n">
        <v>0</v>
      </c>
      <c r="L18" s="5" t="n">
        <v>49596</v>
      </c>
      <c r="M18" s="6" t="n">
        <v>1</v>
      </c>
      <c r="N18" s="5" t="n">
        <v>149.7245486001996</v>
      </c>
      <c r="O18" s="5" t="n">
        <v>149.7245486001996</v>
      </c>
      <c r="P18" s="5" t="n">
        <v>-49745.7245486002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30.39707461453158</v>
      </c>
      <c r="O19" s="5" t="n">
        <v>30.39707461453158</v>
      </c>
      <c r="P19" s="5" t="n">
        <v>-30.39707461453158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0.3678698313420545</v>
      </c>
      <c r="F20" s="5" t="n">
        <v>0.3685720663589671</v>
      </c>
      <c r="G20" s="5" t="n">
        <v>0.000702235016912599</v>
      </c>
      <c r="H20" s="5" t="n">
        <v>0.000702235016912598</v>
      </c>
      <c r="I20" s="5" t="n">
        <v>0</v>
      </c>
      <c r="J20" s="5" t="n">
        <v>0.000702235016912598</v>
      </c>
      <c r="K20" s="5" t="n">
        <v>0</v>
      </c>
      <c r="L20" s="5" t="n">
        <v>0.3678698313420545</v>
      </c>
      <c r="M20" s="6" t="n">
        <v>1</v>
      </c>
      <c r="N20" s="5" t="n">
        <v>0.001110556182783302</v>
      </c>
      <c r="O20" s="5" t="n">
        <v>0.001110556182783302</v>
      </c>
      <c r="P20" s="5" t="n">
        <v>-0.0004083211658707041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3.018883551096854e-09</v>
      </c>
      <c r="O21" s="5" t="n">
        <v>3.018883551096854e-09</v>
      </c>
      <c r="P21" s="5" t="n">
        <v>-3.018883551096854e-09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0.03809333333333333</v>
      </c>
    </row>
    <row r="10">
      <c r="A10" t="inlineStr">
        <is>
          <t>Subsidised rate (BR*), period avg</t>
        </is>
      </c>
      <c r="B10" s="6" t="n">
        <v>0.0383047231109061</v>
      </c>
    </row>
    <row r="11">
      <c r="A11" s="7" t="inlineStr">
        <is>
          <t>Effective blended rate charged</t>
        </is>
      </c>
      <c r="B11" s="8" t="n">
        <v>0.03835293769427627</v>
      </c>
    </row>
    <row r="12">
      <c r="A12" s="7" t="inlineStr">
        <is>
          <t>Diff vs base rate (bps)</t>
        </is>
      </c>
      <c r="B12" s="9" t="n">
        <v>-7.550665714063191</v>
      </c>
    </row>
    <row r="13">
      <c r="A13" s="7" t="inlineStr">
        <is>
          <t>Subsidy benefit to prime (USD)</t>
        </is>
      </c>
      <c r="B13" s="10" t="n">
        <v>63571.67819359694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3291039.781244973</v>
      </c>
    </row>
    <row r="17">
      <c r="A17" s="7" t="inlineStr">
        <is>
          <t xml:space="preserve">  = subsidy benefit</t>
        </is>
      </c>
      <c r="B17" s="10" t="n">
        <v>63571.67819359694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3089689.117254046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3291039.781244973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8000065.958971297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8225450.871941987</v>
      </c>
    </row>
    <row r="31">
      <c r="A31" t="inlineStr">
        <is>
          <t xml:space="preserve">    ↳ actual CoF on Net_Subs (BR × utilized)</t>
        </is>
      </c>
      <c r="B31" s="3" t="n">
        <v>3291039.781244973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0.0378</v>
      </c>
      <c r="M7" s="6" t="n">
        <v>0.03807250088868387</v>
      </c>
      <c r="N7" s="3" t="n">
        <v>110028.0882975477</v>
      </c>
      <c r="O7" s="3" t="n">
        <v>274304.4664056644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0.038</v>
      </c>
      <c r="M14" s="6" t="n">
        <v>0.03823083422201721</v>
      </c>
      <c r="N14" s="3" t="n">
        <v>107710.5315253391</v>
      </c>
      <c r="O14" s="3" t="n">
        <v>272095.1657236742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0.038</v>
      </c>
      <c r="M15" s="6" t="n">
        <v>0.03823083422201721</v>
      </c>
      <c r="N15" s="3" t="n">
        <v>107340.1992567863</v>
      </c>
      <c r="O15" s="3" t="n">
        <v>271740.7666762185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0.038</v>
      </c>
      <c r="M16" s="6" t="n">
        <v>0.03823083422201721</v>
      </c>
      <c r="N16" s="3" t="n">
        <v>105223.0590309393</v>
      </c>
      <c r="O16" s="3" t="n">
        <v>269639.0131632725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0.038</v>
      </c>
      <c r="M17" s="6" t="n">
        <v>0.03823083422201721</v>
      </c>
      <c r="N17" s="3" t="n">
        <v>103554.1824788502</v>
      </c>
      <c r="O17" s="3" t="n">
        <v>267986.5585998255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0.038</v>
      </c>
      <c r="M18" s="6" t="n">
        <v>0.03823083422201721</v>
      </c>
      <c r="N18" s="3" t="n">
        <v>105341.2489156891</v>
      </c>
      <c r="O18" s="3" t="n">
        <v>269773.6250366644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0.038</v>
      </c>
      <c r="M19" s="6" t="n">
        <v>0.03823083422201721</v>
      </c>
      <c r="N19" s="3" t="n">
        <v>106707.6619270497</v>
      </c>
      <c r="O19" s="3" t="n">
        <v>271140.038048025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0.0379</v>
      </c>
      <c r="M22" s="6" t="n">
        <v>0.03815166755535054</v>
      </c>
      <c r="N22" s="3" t="n">
        <v>110730.5887198581</v>
      </c>
      <c r="O22" s="3" t="n">
        <v>275240.598390727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0.0379</v>
      </c>
      <c r="M23" s="6" t="n">
        <v>0.03815166755535054</v>
      </c>
      <c r="N23" s="3" t="n">
        <v>110717.3513832348</v>
      </c>
      <c r="O23" s="3" t="n">
        <v>275240.598390727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0.0379</v>
      </c>
      <c r="M24" s="6" t="n">
        <v>0.03815166755535054</v>
      </c>
      <c r="N24" s="3" t="n">
        <v>110684.7683754052</v>
      </c>
      <c r="O24" s="3" t="n">
        <v>275240.598390727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0.0379</v>
      </c>
      <c r="M25" s="6" t="n">
        <v>0.03815166755535054</v>
      </c>
      <c r="N25" s="3" t="n">
        <v>110684.7683754052</v>
      </c>
      <c r="O25" s="3" t="n">
        <v>275240.598390727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0.0379</v>
      </c>
      <c r="M26" s="6" t="n">
        <v>0.03815166755535054</v>
      </c>
      <c r="N26" s="3" t="n">
        <v>111735.8553072211</v>
      </c>
      <c r="O26" s="3" t="n">
        <v>276291.6853225429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0.0385</v>
      </c>
      <c r="M30" s="6" t="n">
        <v>0.03862666755535054</v>
      </c>
      <c r="N30" s="3" t="n">
        <v>112351.3626937096</v>
      </c>
      <c r="O30" s="3" t="n">
        <v>276980.5709617764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0.0385</v>
      </c>
      <c r="M31" s="6" t="n">
        <v>0.03862666755535054</v>
      </c>
      <c r="N31" s="3" t="n">
        <v>111937.371872578</v>
      </c>
      <c r="O31" s="3" t="n">
        <v>276582.224502068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0.0385</v>
      </c>
      <c r="M32" s="6" t="n">
        <v>0.03862666755535054</v>
      </c>
      <c r="N32" s="3" t="n">
        <v>111937.371872578</v>
      </c>
      <c r="O32" s="3" t="n">
        <v>276582.224502068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0.0385</v>
      </c>
      <c r="M33" s="6" t="n">
        <v>0.03862666755535054</v>
      </c>
      <c r="N33" s="3" t="n">
        <v>111937.371872578</v>
      </c>
      <c r="O33" s="3" t="n">
        <v>276582.224502068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3291039.781244973</v>
      </c>
      <c r="O37" s="10" t="n">
        <v>8225450.871941987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2026-07-07T15:14:01Z</dcterms:created>
  <dcterms:modified xmlns:dcterms="http://purl.org/dc/terms/" xmlns:xsi="http://www.w3.org/2001/XMLSchema-instance" xsi:type="dcterms:W3CDTF">2026-07-07T15:14:01Z</dcterms:modified>
</cp:coreProperties>
</file>