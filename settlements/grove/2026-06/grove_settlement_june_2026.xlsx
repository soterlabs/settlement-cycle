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2943329.700012343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/>
      <c r="B7" s="4" t="n">
        <v>3065410.653387764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3291457.592906464</v>
      </c>
    </row>
    <row r="11">
      <c r="A11" t="inlineStr">
        <is>
          <t>+ SDE revenue (Sky-Direct, full to Sky)</t>
        </is>
      </c>
      <c r="B11" s="3" t="n">
        <v>4709026.177726324</v>
      </c>
    </row>
    <row r="12">
      <c r="A12" t="inlineStr"/>
      <c r="B12" s="4" t="n">
        <v>8000483.770632788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3291457.592906464</v>
      </c>
    </row>
    <row r="16">
      <c r="A16" t="inlineStr">
        <is>
          <t>reduction from idle/SDE deductions</t>
        </is>
      </c>
      <c r="B16" s="3" t="n">
        <v>-4934411.090697014</v>
      </c>
    </row>
    <row r="17">
      <c r="A17" t="inlineStr"/>
      <c r="B17" s="4" t="n">
        <v>8225868.683603478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2943329.700012343</v>
      </c>
    </row>
    <row r="21">
      <c r="A21" t="inlineStr">
        <is>
          <t>− CoF (deducted per-venue in display)</t>
        </is>
      </c>
      <c r="B21" s="3" t="n">
        <v>-3291457.592906464</v>
      </c>
    </row>
    <row r="22">
      <c r="A22" t="inlineStr"/>
      <c r="B22" s="4" t="n">
        <v>-348127.8928941209</v>
      </c>
    </row>
    <row r="24">
      <c r="A24" t="inlineStr">
        <is>
          <t>Period</t>
        </is>
      </c>
      <c r="B24" t="inlineStr">
        <is>
          <t>2026-06-01 → 2026-06-30 (30 days)</t>
        </is>
      </c>
    </row>
    <row r="25">
      <c r="A25" t="inlineStr">
        <is>
          <t>Pin blocks</t>
        </is>
      </c>
      <c r="B25" t="inlineStr">
        <is>
          <t>avalanche_c=89166730, base=48037326, ethereum=25433938, monad=84784216, plume=78267500</t>
        </is>
      </c>
    </row>
    <row r="26">
      <c r="A26" t="inlineStr">
        <is>
          <t>Generated</t>
        </is>
      </c>
      <c r="B26" t="inlineStr">
        <is>
          <t>2026-07-31T00:13:52+00:00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782190.8397892824</v>
      </c>
      <c r="O4" s="5" t="n">
        <v>782190.8397892824</v>
      </c>
      <c r="P4" s="5" t="n">
        <v>-9121.67199224389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575661.3079567543</v>
      </c>
      <c r="O5" s="5" t="n">
        <v>575661.3079567543</v>
      </c>
      <c r="P5" s="5" t="n">
        <v>-287228.3272236349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437346.2345835553</v>
      </c>
      <c r="O6" s="5" t="n">
        <v>437346.2345835553</v>
      </c>
      <c r="P6" s="5" t="n">
        <v>77047.08615440091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390491.6107596094</v>
      </c>
      <c r="O7" s="5" t="n">
        <v>390491.6107596094</v>
      </c>
      <c r="P7" s="5" t="n">
        <v>-4553.794557389213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307858.3784237489</v>
      </c>
      <c r="O8" s="5" t="n">
        <v>307858.3784237489</v>
      </c>
      <c r="P8" s="5" t="n">
        <v>-208058.5784237489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302771.9110346356</v>
      </c>
      <c r="O9" s="5" t="n">
        <v>302771.9110346356</v>
      </c>
      <c r="P9" s="5" t="n">
        <v>93256.87807790923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139823.608917566</v>
      </c>
      <c r="O10" s="5" t="n">
        <v>139823.608917566</v>
      </c>
      <c r="P10" s="5" t="n">
        <v>231915.081082434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98854.20260415488</v>
      </c>
      <c r="O11" s="5" t="n">
        <v>98854.20260415488</v>
      </c>
      <c r="P11" s="5" t="n">
        <v>-98854.20260415488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75655.50163417206</v>
      </c>
      <c r="O12" s="5" t="n">
        <v>75655.50163417206</v>
      </c>
      <c r="P12" s="5" t="n">
        <v>-5558.068751643496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75597.30676306166</v>
      </c>
      <c r="O13" s="5" t="n">
        <v>75597.30676306166</v>
      </c>
      <c r="P13" s="5" t="n">
        <v>-62866.38226306166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75489.4641874025</v>
      </c>
      <c r="O14" s="5" t="n">
        <v>75489.4641874025</v>
      </c>
      <c r="P14" s="5" t="n">
        <v>-75155.53686059412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17207.56519851869</v>
      </c>
      <c r="O15" s="5" t="n">
        <v>17207.56519851869</v>
      </c>
      <c r="P15" s="5" t="n">
        <v>1428.708249256244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10612.73950601244</v>
      </c>
      <c r="O16" s="5" t="n">
        <v>10612.73950601244</v>
      </c>
      <c r="P16" s="5" t="n">
        <v>1517.837064104367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618174.3186537611</v>
      </c>
      <c r="M17" s="6" t="n">
        <v>1</v>
      </c>
      <c r="N17" s="5" t="n">
        <v>1866.518120443627</v>
      </c>
      <c r="O17" s="5" t="n">
        <v>1866.518120443627</v>
      </c>
      <c r="P17" s="5" t="n">
        <v>-1866.518120443627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30.40231679528735</v>
      </c>
      <c r="O18" s="5" t="n">
        <v>30.40231679528735</v>
      </c>
      <c r="P18" s="5" t="n">
        <v>-30.40231679528735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0.3678698313420545</v>
      </c>
      <c r="F19" s="5" t="n">
        <v>0.3685720663589671</v>
      </c>
      <c r="G19" s="5" t="n">
        <v>0.000702235016912599</v>
      </c>
      <c r="H19" s="5" t="n">
        <v>0.000702235016912599</v>
      </c>
      <c r="I19" s="5" t="n">
        <v>0</v>
      </c>
      <c r="J19" s="5" t="n">
        <v>0.000702235016912599</v>
      </c>
      <c r="K19" s="5" t="n">
        <v>0</v>
      </c>
      <c r="L19" s="5" t="n">
        <v>0.3678698313420545</v>
      </c>
      <c r="M19" s="6" t="n">
        <v>1</v>
      </c>
      <c r="N19" s="5" t="n">
        <v>0.001110747705695405</v>
      </c>
      <c r="O19" s="5" t="n">
        <v>0.001110747705695405</v>
      </c>
      <c r="P19" s="5" t="n">
        <v>-0.0004085126887828062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3.019404177948489e-09</v>
      </c>
      <c r="O20" s="5" t="n">
        <v>3.019404177948489e-09</v>
      </c>
      <c r="P20" s="5" t="n">
        <v>-3.019404177948489e-09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49596</v>
      </c>
      <c r="F23" s="5" t="n">
        <v>0</v>
      </c>
      <c r="G23" s="5" t="n">
        <v>-49596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+ 30bps),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0.0381</v>
      </c>
    </row>
    <row r="10">
      <c r="A10" t="inlineStr">
        <is>
          <t>Subsidised rate (BR*), period avg</t>
        </is>
      </c>
      <c r="B10" s="6" t="n">
        <v>0.03831000088868387</v>
      </c>
    </row>
    <row r="11">
      <c r="A11" s="7" t="inlineStr">
        <is>
          <t>Effective blended rate charged</t>
        </is>
      </c>
      <c r="B11" s="8" t="n">
        <v>0.03835789868900098</v>
      </c>
    </row>
    <row r="12">
      <c r="A12" s="7" t="inlineStr">
        <is>
          <t>Diff vs base rate (bps)</t>
        </is>
      </c>
      <c r="B12" s="9" t="n">
        <v>-7.501055766816042</v>
      </c>
    </row>
    <row r="13">
      <c r="A13" s="7" t="inlineStr">
        <is>
          <t>Subsidy benefit to prime (USD)</t>
        </is>
      </c>
      <c r="B13" s="10" t="n">
        <v>63153.86653210641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3291457.592906464</v>
      </c>
    </row>
    <row r="17">
      <c r="A17" s="7" t="inlineStr">
        <is>
          <t xml:space="preserve">  = subsidy benefit</t>
        </is>
      </c>
      <c r="B17" s="10" t="n">
        <v>63153.86653210641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3090106.928915537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3291457.592906464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8000483.770632788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8225868.683603478</v>
      </c>
    </row>
    <row r="31">
      <c r="A31" t="inlineStr">
        <is>
          <t xml:space="preserve">    ↳ actual CoF on Net_Subs (BR × utilized)</t>
        </is>
      </c>
      <c r="B31" s="3" t="n">
        <v>3291457.592906464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0.0377</v>
      </c>
      <c r="M7" s="6" t="n">
        <v>0.03799333422201721</v>
      </c>
      <c r="N7" s="3" t="n">
        <v>109819.118855353</v>
      </c>
      <c r="O7" s="3" t="n">
        <v>274095.4969634697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0.0379</v>
      </c>
      <c r="M14" s="6" t="n">
        <v>0.03815166755535054</v>
      </c>
      <c r="N14" s="3" t="n">
        <v>107501.593865721</v>
      </c>
      <c r="O14" s="3" t="n">
        <v>271886.2280640561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0.0379</v>
      </c>
      <c r="M15" s="6" t="n">
        <v>0.03815166755535054</v>
      </c>
      <c r="N15" s="3" t="n">
        <v>107131.2615971681</v>
      </c>
      <c r="O15" s="3" t="n">
        <v>271531.8290166004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0.0378</v>
      </c>
      <c r="M16" s="6" t="n">
        <v>0.03807250088868387</v>
      </c>
      <c r="N16" s="3" t="n">
        <v>104805.1678217469</v>
      </c>
      <c r="O16" s="3" t="n">
        <v>269221.1219540802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0.0378</v>
      </c>
      <c r="M17" s="6" t="n">
        <v>0.03807250088868387</v>
      </c>
      <c r="N17" s="3" t="n">
        <v>103136.2912696579</v>
      </c>
      <c r="O17" s="3" t="n">
        <v>267568.6673906332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0.0378</v>
      </c>
      <c r="M18" s="6" t="n">
        <v>0.03807250088868387</v>
      </c>
      <c r="N18" s="3" t="n">
        <v>104923.3577064968</v>
      </c>
      <c r="O18" s="3" t="n">
        <v>269355.7338274721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0.0378</v>
      </c>
      <c r="M19" s="6" t="n">
        <v>0.03807250088868387</v>
      </c>
      <c r="N19" s="3" t="n">
        <v>106289.7707178574</v>
      </c>
      <c r="O19" s="3" t="n">
        <v>270722.1468388327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0.0383</v>
      </c>
      <c r="M22" s="6" t="n">
        <v>0.0384683342220172</v>
      </c>
      <c r="N22" s="3" t="n">
        <v>111566.2440430196</v>
      </c>
      <c r="O22" s="3" t="n">
        <v>276076.2537138885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0.0383</v>
      </c>
      <c r="M23" s="6" t="n">
        <v>0.0384683342220172</v>
      </c>
      <c r="N23" s="3" t="n">
        <v>111553.0067063962</v>
      </c>
      <c r="O23" s="3" t="n">
        <v>276076.2537138885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0.0383</v>
      </c>
      <c r="M24" s="6" t="n">
        <v>0.0384683342220172</v>
      </c>
      <c r="N24" s="3" t="n">
        <v>111520.4236985667</v>
      </c>
      <c r="O24" s="3" t="n">
        <v>276076.2537138885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0.0383</v>
      </c>
      <c r="M25" s="6" t="n">
        <v>0.0384683342220172</v>
      </c>
      <c r="N25" s="3" t="n">
        <v>111520.4236985667</v>
      </c>
      <c r="O25" s="3" t="n">
        <v>276076.2537138885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0.0383</v>
      </c>
      <c r="M26" s="6" t="n">
        <v>0.0384683342220172</v>
      </c>
      <c r="N26" s="3" t="n">
        <v>112571.5106303826</v>
      </c>
      <c r="O26" s="3" t="n">
        <v>277127.3406457043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0.0384</v>
      </c>
      <c r="M30" s="6" t="n">
        <v>0.03854750088868387</v>
      </c>
      <c r="N30" s="3" t="n">
        <v>112142.5044476783</v>
      </c>
      <c r="O30" s="3" t="n">
        <v>276771.712715745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0.0383</v>
      </c>
      <c r="M31" s="6" t="n">
        <v>0.0384683342220172</v>
      </c>
      <c r="N31" s="3" t="n">
        <v>111519.6395025497</v>
      </c>
      <c r="O31" s="3" t="n">
        <v>276164.4921320397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0.0383</v>
      </c>
      <c r="M32" s="6" t="n">
        <v>0.0384683342220172</v>
      </c>
      <c r="N32" s="3" t="n">
        <v>111519.6395025497</v>
      </c>
      <c r="O32" s="3" t="n">
        <v>276164.4921320397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0.0383</v>
      </c>
      <c r="M33" s="6" t="n">
        <v>0.0384683342220172</v>
      </c>
      <c r="N33" s="3" t="n">
        <v>111519.6395025497</v>
      </c>
      <c r="O33" s="3" t="n">
        <v>276164.4921320397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3291457.592906464</v>
      </c>
      <c r="O37" s="10" t="n">
        <v>8225868.683603478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2026-07-31T12:31:18Z</dcterms:created>
  <dcterms:modified xsi:type="dcterms:W3CDTF">2026-07-31T12:31:18Z</dcterms:modified>
</cp:coreProperties>
</file>