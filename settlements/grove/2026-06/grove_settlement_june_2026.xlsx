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nues" sheetId="2" state="visible" r:id="rId2"/>
    <sheet xmlns:r="http://schemas.openxmlformats.org/officeDocument/2006/relationships" name="Sky Revenue" sheetId="3" state="visible" r:id="rId3"/>
    <sheet xmlns:r="http://schemas.openxmlformats.org/officeDocument/2006/relationships" name="Sky Direct" sheetId="4" state="visible" r:id="rId4"/>
    <sheet xmlns:r="http://schemas.openxmlformats.org/officeDocument/2006/relationships" name="Debt" sheetId="5" state="visible" r:id="rId5"/>
    <sheet xmlns:r="http://schemas.openxmlformats.org/officeDocument/2006/relationships" name="Off-protocol hold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;&quot;−$&quot;#,##0.00;&quot;$&quot;0.00"/>
    <numFmt numFmtId="165" formatCode="&quot;$&quot;#,##0;&quot;−$&quot;#,##0;&quot;$&quot;0"/>
    <numFmt numFmtId="166" formatCode="0.000%"/>
    <numFmt numFmtId="167" formatCode="0.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top style="thin">
        <color rgb="00C5C9CC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1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GROVE — Monthly settlement 2026-06</t>
        </is>
      </c>
    </row>
    <row r="3">
      <c r="A3" s="2" t="inlineStr">
        <is>
          <t>Prime side</t>
        </is>
      </c>
      <c r="B3" s="2" t="inlineStr">
        <is>
          <t>USD</t>
        </is>
      </c>
    </row>
    <row r="4">
      <c r="A4" t="inlineStr">
        <is>
          <t>prime_agent_revenue (gross venue yield to prime)</t>
        </is>
      </c>
      <c r="B4" s="3" t="n">
        <v>2943329.700012341</v>
      </c>
    </row>
    <row r="5">
      <c r="A5" t="inlineStr">
        <is>
          <t>+ agent_rate (subproxy USDS / sUSDS yield)</t>
        </is>
      </c>
      <c r="B5" s="3" t="n">
        <v>66624.62337542071</v>
      </c>
    </row>
    <row r="6">
      <c r="A6" t="inlineStr">
        <is>
          <t>+ distribution_rewards (settle-dr-dune)</t>
        </is>
      </c>
      <c r="B6" s="3" t="n">
        <v>55456.33</v>
      </c>
    </row>
    <row r="7">
      <c r="A7" t="inlineStr"/>
      <c r="B7" s="4" t="n">
        <v>3065410.653387762</v>
      </c>
    </row>
    <row r="9">
      <c r="A9" s="2" t="inlineStr">
        <is>
          <t>Sky side</t>
        </is>
      </c>
      <c r="B9" s="2" t="inlineStr">
        <is>
          <t>USD</t>
        </is>
      </c>
    </row>
    <row r="10">
      <c r="A10" t="inlineStr">
        <is>
          <t>CoF on utilized (BR × Net_Subs)</t>
        </is>
      </c>
      <c r="B10" s="3" t="n">
        <v>3291039.781244973</v>
      </c>
    </row>
    <row r="11">
      <c r="A11" t="inlineStr">
        <is>
          <t>+ SDE revenue (Sky-Direct, full to Sky)</t>
        </is>
      </c>
      <c r="B11" s="3" t="n">
        <v>4709026.177726324</v>
      </c>
    </row>
    <row r="12">
      <c r="A12" t="inlineStr"/>
      <c r="B12" s="4" t="n">
        <v>8000065.958971297</v>
      </c>
    </row>
    <row r="14">
      <c r="A14" s="2" t="inlineStr">
        <is>
          <t>Sky Revenue (max) — BR × full ilk debt, no deductions</t>
        </is>
      </c>
      <c r="B14" s="2" t="inlineStr">
        <is>
          <t>USD</t>
        </is>
      </c>
    </row>
    <row r="15">
      <c r="A15" t="inlineStr">
        <is>
          <t>CoF on Net_Subs (actual BR × utilized)</t>
        </is>
      </c>
      <c r="B15" s="3" t="n">
        <v>3291039.781244973</v>
      </c>
    </row>
    <row r="16">
      <c r="A16" t="inlineStr">
        <is>
          <t>reduction from idle/SDE deductions</t>
        </is>
      </c>
      <c r="B16" s="3" t="n">
        <v>-4934411.090697014</v>
      </c>
    </row>
    <row r="17">
      <c r="A17" t="inlineStr"/>
      <c r="B17" s="4" t="n">
        <v>8225450.871941987</v>
      </c>
    </row>
    <row r="19">
      <c r="A19" s="2" t="inlineStr">
        <is>
          <t>Comparison (Grove-style "Profit to Grove")</t>
        </is>
      </c>
      <c r="B19" s="2" t="inlineStr">
        <is>
          <t>USD</t>
        </is>
      </c>
    </row>
    <row r="20">
      <c r="A20" t="inlineStr">
        <is>
          <t>prime_agent_revenue</t>
        </is>
      </c>
      <c r="B20" s="3" t="n">
        <v>2943329.700012341</v>
      </c>
    </row>
    <row r="21">
      <c r="A21" t="inlineStr">
        <is>
          <t>− CoF (deducted per-venue in display)</t>
        </is>
      </c>
      <c r="B21" s="3" t="n">
        <v>-3291039.781244973</v>
      </c>
    </row>
    <row r="22">
      <c r="A22" t="inlineStr"/>
      <c r="B22" s="4" t="n">
        <v>-347710.081232632</v>
      </c>
    </row>
    <row r="24">
      <c r="A24" t="inlineStr">
        <is>
          <t>Period</t>
        </is>
      </c>
      <c r="B24" t="inlineStr">
        <is>
          <t>2026-06-01 → 2026-06-30 (30 days)</t>
        </is>
      </c>
    </row>
    <row r="25">
      <c r="A25" t="inlineStr">
        <is>
          <t>Pin blocks</t>
        </is>
      </c>
      <c r="B25" t="inlineStr">
        <is>
          <t>avalanche_c=89166730, base=48037326, ethereum=25433938, monad=84784216, plume=78267500</t>
        </is>
      </c>
    </row>
    <row r="26">
      <c r="A26" t="inlineStr">
        <is>
          <t>Generated</t>
        </is>
      </c>
      <c r="B26" t="inlineStr">
        <is>
          <t>2026-07-08T18:39:47+00:00</t>
        </is>
      </c>
    </row>
    <row r="27">
      <c r="A27" t="inlineStr">
        <is>
          <t>Pipeline</t>
        </is>
      </c>
      <c r="B27" t="inlineStr">
        <is>
          <t>0.1.0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9" customWidth="1" min="13" max="13"/>
    <col width="14" customWidth="1" min="14" max="14"/>
    <col width="16" customWidth="1" min="15" max="15"/>
    <col width="16" customWidth="1" min="16" max="16"/>
    <col width="22" customWidth="1" min="17" max="17"/>
    <col width="14" customWidth="1" min="18" max="18"/>
    <col width="30" customWidth="1" min="19" max="19"/>
  </cols>
  <sheetData>
    <row r="1">
      <c r="A1" s="2" t="inlineStr">
        <is>
          <t>Venue</t>
        </is>
      </c>
      <c r="B1" s="2" t="inlineStr">
        <is>
          <t>Label</t>
        </is>
      </c>
      <c r="C1" s="2" t="inlineStr">
        <is>
          <t>Chain</t>
        </is>
      </c>
      <c r="D1" s="2" t="inlineStr">
        <is>
          <t>Pricing cat.</t>
        </is>
      </c>
      <c r="E1" s="2" t="inlineStr">
        <is>
          <t>Position SoM</t>
        </is>
      </c>
      <c r="F1" s="2" t="inlineStr">
        <is>
          <t>Position EoM</t>
        </is>
      </c>
      <c r="G1" s="2" t="inlineStr">
        <is>
          <t>Period inflow</t>
        </is>
      </c>
      <c r="H1" s="2" t="inlineStr">
        <is>
          <t>actual_revenue</t>
        </is>
      </c>
      <c r="I1" s="2" t="inlineStr">
        <is>
          <t>external_revenue</t>
        </is>
      </c>
      <c r="J1" s="2" t="inlineStr">
        <is>
          <t>revenue (to prime)</t>
        </is>
      </c>
      <c r="K1" s="2" t="inlineStr">
        <is>
          <t>sd_revenue (to Sky)</t>
        </is>
      </c>
      <c r="L1" s="2" t="inlineStr">
        <is>
          <t>Avg value</t>
        </is>
      </c>
      <c r="M1" s="2" t="inlineStr">
        <is>
          <t>Weight</t>
        </is>
      </c>
      <c r="N1" s="2" t="inlineStr">
        <is>
          <t>CoF alloc</t>
        </is>
      </c>
      <c r="O1" s="2" t="inlineStr">
        <is>
          <t>Profit to Sky</t>
        </is>
      </c>
      <c r="P1" s="2" t="inlineStr">
        <is>
          <t>Profit to Grove</t>
        </is>
      </c>
      <c r="Q1" s="2" t="inlineStr">
        <is>
          <t>Utilized Deduction (avg)</t>
        </is>
      </c>
      <c r="R1" s="2" t="inlineStr">
        <is>
          <t>Spread Reimb</t>
        </is>
      </c>
      <c r="S1" s="2" t="inlineStr">
        <is>
          <t>Notes</t>
        </is>
      </c>
    </row>
    <row r="2">
      <c r="A2" t="inlineStr">
        <is>
          <t>E9</t>
        </is>
      </c>
      <c r="B2" t="inlineStr">
        <is>
          <t>Janus Henderson Anemoy Treasury Fund (JTRSY)</t>
        </is>
      </c>
      <c r="C2" t="inlineStr">
        <is>
          <t>ethereum</t>
        </is>
      </c>
      <c r="D2" t="inlineStr">
        <is>
          <t>E</t>
        </is>
      </c>
      <c r="E2" s="5" t="n">
        <v>850436206.6551198</v>
      </c>
      <c r="F2" s="5" t="n">
        <v>852967438.982846</v>
      </c>
      <c r="G2" s="5" t="n">
        <v>2531232.327726324</v>
      </c>
      <c r="H2" s="5" t="n">
        <v>2531232.327726324</v>
      </c>
      <c r="I2" s="5" t="n">
        <v>0</v>
      </c>
      <c r="J2" s="5" t="n">
        <v>0</v>
      </c>
      <c r="K2" s="5" t="n">
        <v>2531232.327726324</v>
      </c>
      <c r="L2" s="5" t="n">
        <v>850436206.6551198</v>
      </c>
      <c r="M2" s="6" t="n">
        <v>0</v>
      </c>
      <c r="N2" s="5" t="n">
        <v>0</v>
      </c>
      <c r="O2" s="5" t="n">
        <v>2531232.327726324</v>
      </c>
      <c r="P2" s="5" t="n">
        <v>0</v>
      </c>
      <c r="Q2" s="5" t="n">
        <v>850436206.6551198</v>
      </c>
      <c r="R2" s="5" t="n">
        <v>0</v>
      </c>
      <c r="S2" t="inlineStr">
        <is>
          <t>SDE (fixed)</t>
        </is>
      </c>
    </row>
    <row r="3">
      <c r="A3" t="inlineStr">
        <is>
          <t>E10</t>
        </is>
      </c>
      <c r="B3" t="inlineStr">
        <is>
          <t>BlackRock USD Institutional Digital Liquidity Fund (BUIDL-I)</t>
        </is>
      </c>
      <c r="C3" t="inlineStr">
        <is>
          <t>ethereum</t>
        </is>
      </c>
      <c r="D3" t="inlineStr">
        <is>
          <t>E</t>
        </is>
      </c>
      <c r="E3" s="5" t="n">
        <v>711851475.98</v>
      </c>
      <c r="F3" s="5" t="n">
        <v>714029269.83</v>
      </c>
      <c r="G3" s="5" t="n">
        <v>2177793.85</v>
      </c>
      <c r="H3" s="5" t="n">
        <v>2177793.85</v>
      </c>
      <c r="I3" s="5" t="n">
        <v>0</v>
      </c>
      <c r="J3" s="5" t="n">
        <v>0</v>
      </c>
      <c r="K3" s="5" t="n">
        <v>2177793.85</v>
      </c>
      <c r="L3" s="5" t="n">
        <v>711851475.98</v>
      </c>
      <c r="M3" s="6" t="n">
        <v>0</v>
      </c>
      <c r="N3" s="5" t="n">
        <v>0</v>
      </c>
      <c r="O3" s="5" t="n">
        <v>2177793.85</v>
      </c>
      <c r="P3" s="5" t="n">
        <v>0</v>
      </c>
      <c r="Q3" s="5" t="n">
        <v>711851475.98</v>
      </c>
      <c r="R3" s="5" t="n">
        <v>0</v>
      </c>
      <c r="S3" t="inlineStr">
        <is>
          <t>SDE (fixed)</t>
        </is>
      </c>
    </row>
    <row r="4">
      <c r="A4" t="inlineStr">
        <is>
          <t>E20</t>
        </is>
      </c>
      <c r="B4" t="inlineStr">
        <is>
          <t>Janus Henderson Anemoy AAA CLO (JAAA-avalanche)</t>
        </is>
      </c>
      <c r="C4" t="inlineStr">
        <is>
          <t>avalanche_c</t>
        </is>
      </c>
      <c r="D4" t="inlineStr">
        <is>
          <t>E</t>
        </is>
      </c>
      <c r="E4" s="5" t="n">
        <v>259054698.771973</v>
      </c>
      <c r="F4" s="5" t="n">
        <v>259827767.93977</v>
      </c>
      <c r="G4" s="5" t="n">
        <v>773069.1677970384</v>
      </c>
      <c r="H4" s="5" t="n">
        <v>773069.1677970384</v>
      </c>
      <c r="I4" s="5" t="n">
        <v>0</v>
      </c>
      <c r="J4" s="5" t="n">
        <v>773069.1677970384</v>
      </c>
      <c r="K4" s="5" t="n">
        <v>0</v>
      </c>
      <c r="L4" s="5" t="n">
        <v>259054698.771973</v>
      </c>
      <c r="M4" s="6" t="n">
        <v>1</v>
      </c>
      <c r="N4" s="5" t="n">
        <v>782091.5499017021</v>
      </c>
      <c r="O4" s="5" t="n">
        <v>782091.5499017021</v>
      </c>
      <c r="P4" s="5" t="n">
        <v>-9022.382104663577</v>
      </c>
      <c r="Q4" s="5" t="n">
        <v>0</v>
      </c>
      <c r="R4" s="5" t="n">
        <v>0</v>
      </c>
      <c r="S4" t="inlineStr"/>
    </row>
    <row r="5">
      <c r="A5" t="inlineStr">
        <is>
          <t>E1</t>
        </is>
      </c>
      <c r="B5" t="inlineStr">
        <is>
          <t>Aave Horizon RWA RLUSD (aToken)</t>
        </is>
      </c>
      <c r="C5" t="inlineStr">
        <is>
          <t>ethereum</t>
        </is>
      </c>
      <c r="D5" t="inlineStr">
        <is>
          <t>C</t>
        </is>
      </c>
      <c r="E5" s="5" t="n">
        <v>251453941.6488067</v>
      </c>
      <c r="F5" s="5" t="n">
        <v>171742374.6295398</v>
      </c>
      <c r="G5" s="5" t="n">
        <v>-79711567.01926687</v>
      </c>
      <c r="H5" s="5" t="n">
        <v>288432.9807331194</v>
      </c>
      <c r="I5" s="5" t="n">
        <v>0</v>
      </c>
      <c r="J5" s="5" t="n">
        <v>288432.9807331194</v>
      </c>
      <c r="K5" s="5" t="n">
        <v>0</v>
      </c>
      <c r="L5" s="5" t="n">
        <v>190653941.6488067</v>
      </c>
      <c r="M5" s="6" t="n">
        <v>1</v>
      </c>
      <c r="N5" s="5" t="n">
        <v>575588.2345536361</v>
      </c>
      <c r="O5" s="5" t="n">
        <v>575588.2345536361</v>
      </c>
      <c r="P5" s="5" t="n">
        <v>-287155.2538205166</v>
      </c>
      <c r="Q5" s="5" t="n">
        <v>0</v>
      </c>
      <c r="R5" s="5" t="n">
        <v>0</v>
      </c>
      <c r="S5" t="inlineStr"/>
    </row>
    <row r="6">
      <c r="A6" t="inlineStr">
        <is>
          <t>E23</t>
        </is>
      </c>
      <c r="B6" t="inlineStr">
        <is>
          <t>Steakhouse Prime Instant (Base, Morpho V2)</t>
        </is>
      </c>
      <c r="C6" t="inlineStr">
        <is>
          <t>base</t>
        </is>
      </c>
      <c r="D6" t="inlineStr">
        <is>
          <t>B</t>
        </is>
      </c>
      <c r="E6" s="5" t="n">
        <v>103110534.9489754</v>
      </c>
      <c r="F6" s="5" t="n">
        <v>173617481.6464665</v>
      </c>
      <c r="G6" s="5" t="n">
        <v>70506946.69749106</v>
      </c>
      <c r="H6" s="5" t="n">
        <v>514393.3207379561</v>
      </c>
      <c r="I6" s="5" t="n">
        <v>0</v>
      </c>
      <c r="J6" s="5" t="n">
        <v>514393.3207379561</v>
      </c>
      <c r="K6" s="5" t="n">
        <v>0</v>
      </c>
      <c r="L6" s="5" t="n">
        <v>144845210.7795343</v>
      </c>
      <c r="M6" s="6" t="n">
        <v>1</v>
      </c>
      <c r="N6" s="5" t="n">
        <v>437290.7186451723</v>
      </c>
      <c r="O6" s="5" t="n">
        <v>437290.7186451723</v>
      </c>
      <c r="P6" s="5" t="n">
        <v>77102.6020927839</v>
      </c>
      <c r="Q6" s="5" t="n">
        <v>0</v>
      </c>
      <c r="R6" s="5" t="n">
        <v>0</v>
      </c>
      <c r="S6" t="inlineStr"/>
    </row>
    <row r="7">
      <c r="A7" t="inlineStr">
        <is>
          <t>E8</t>
        </is>
      </c>
      <c r="B7" t="inlineStr">
        <is>
          <t>Janus Henderson Anemoy AAA CLO (JAAA)</t>
        </is>
      </c>
      <c r="C7" t="inlineStr">
        <is>
          <t>ethereum</t>
        </is>
      </c>
      <c r="D7" t="inlineStr">
        <is>
          <t>E</t>
        </is>
      </c>
      <c r="E7" s="5" t="n">
        <v>129327373.1325781</v>
      </c>
      <c r="F7" s="5" t="n">
        <v>129713310.9487803</v>
      </c>
      <c r="G7" s="5" t="n">
        <v>385937.8162022202</v>
      </c>
      <c r="H7" s="5" t="n">
        <v>385937.8162022202</v>
      </c>
      <c r="I7" s="5" t="n">
        <v>0</v>
      </c>
      <c r="J7" s="5" t="n">
        <v>385937.8162022202</v>
      </c>
      <c r="K7" s="5" t="n">
        <v>0</v>
      </c>
      <c r="L7" s="5" t="n">
        <v>129327373.1325781</v>
      </c>
      <c r="M7" s="6" t="n">
        <v>1</v>
      </c>
      <c r="N7" s="5" t="n">
        <v>390442.0424622566</v>
      </c>
      <c r="O7" s="5" t="n">
        <v>390442.0424622566</v>
      </c>
      <c r="P7" s="5" t="n">
        <v>-4504.226260036329</v>
      </c>
      <c r="Q7" s="5" t="n">
        <v>0</v>
      </c>
      <c r="R7" s="5" t="n">
        <v>0</v>
      </c>
      <c r="S7" t="inlineStr"/>
    </row>
    <row r="8">
      <c r="A8" t="inlineStr">
        <is>
          <t>E7</t>
        </is>
      </c>
      <c r="B8" t="inlineStr">
        <is>
          <t>Securitize Tokenized AAA CLO Fund (STAC)</t>
        </is>
      </c>
      <c r="C8" t="inlineStr">
        <is>
          <t>ethereum</t>
        </is>
      </c>
      <c r="D8" t="inlineStr">
        <is>
          <t>E</t>
        </is>
      </c>
      <c r="E8" s="5" t="n">
        <v>101959976.3</v>
      </c>
      <c r="F8" s="5" t="n">
        <v>102059776.1</v>
      </c>
      <c r="G8" s="5" t="n">
        <v>99799.8</v>
      </c>
      <c r="H8" s="5" t="n">
        <v>99799.8</v>
      </c>
      <c r="I8" s="5" t="n">
        <v>0</v>
      </c>
      <c r="J8" s="5" t="n">
        <v>99799.8</v>
      </c>
      <c r="K8" s="5" t="n">
        <v>0</v>
      </c>
      <c r="L8" s="5" t="n">
        <v>101959976.3</v>
      </c>
      <c r="M8" s="6" t="n">
        <v>1</v>
      </c>
      <c r="N8" s="5" t="n">
        <v>307819.2994391464</v>
      </c>
      <c r="O8" s="5" t="n">
        <v>307819.2994391464</v>
      </c>
      <c r="P8" s="5" t="n">
        <v>-208019.4994391464</v>
      </c>
      <c r="Q8" s="5" t="n">
        <v>0</v>
      </c>
      <c r="R8" s="5" t="n">
        <v>0</v>
      </c>
      <c r="S8" t="inlineStr"/>
    </row>
    <row r="9">
      <c r="A9" t="inlineStr">
        <is>
          <t>E37</t>
        </is>
      </c>
      <c r="B9" t="inlineStr">
        <is>
          <t>Maple syrupUSDC (ERC-4626)</t>
        </is>
      </c>
      <c r="C9" t="inlineStr">
        <is>
          <t>ethereum</t>
        </is>
      </c>
      <c r="D9" t="inlineStr">
        <is>
          <t>B</t>
        </is>
      </c>
      <c r="E9" s="5" t="n">
        <v>100275383.2182718</v>
      </c>
      <c r="F9" s="5" t="n">
        <v>100671412.0073843</v>
      </c>
      <c r="G9" s="5" t="n">
        <v>396028.7891125448</v>
      </c>
      <c r="H9" s="5" t="n">
        <v>396028.7891125448</v>
      </c>
      <c r="I9" s="5" t="n">
        <v>0</v>
      </c>
      <c r="J9" s="5" t="n">
        <v>396028.7891125448</v>
      </c>
      <c r="K9" s="5" t="n">
        <v>0</v>
      </c>
      <c r="L9" s="5" t="n">
        <v>100275383.2182718</v>
      </c>
      <c r="M9" s="6" t="n">
        <v>1</v>
      </c>
      <c r="N9" s="5" t="n">
        <v>302733.4777169848</v>
      </c>
      <c r="O9" s="5" t="n">
        <v>302733.4777169848</v>
      </c>
      <c r="P9" s="5" t="n">
        <v>93295.31139555995</v>
      </c>
      <c r="Q9" s="5" t="n">
        <v>0</v>
      </c>
      <c r="R9" s="5" t="n">
        <v>0</v>
      </c>
      <c r="S9" t="inlineStr"/>
    </row>
    <row r="10">
      <c r="A10" t="inlineStr">
        <is>
          <t>E21</t>
        </is>
      </c>
      <c r="B10" t="inlineStr">
        <is>
          <t>Galaxy Arch CLO Token (GACLO-1)</t>
        </is>
      </c>
      <c r="C10" t="inlineStr">
        <is>
          <t>avalanche_c</t>
        </is>
      </c>
      <c r="D10" t="inlineStr">
        <is>
          <t>E</t>
        </is>
      </c>
      <c r="E10" s="5" t="n">
        <v>46308344.52</v>
      </c>
      <c r="F10" s="5" t="n">
        <v>27586956.37</v>
      </c>
      <c r="G10" s="5" t="n">
        <v>-18721388.15</v>
      </c>
      <c r="H10" s="5" t="n">
        <v>371738.69</v>
      </c>
      <c r="I10" s="5" t="n">
        <v>0</v>
      </c>
      <c r="J10" s="5" t="n">
        <v>371738.69</v>
      </c>
      <c r="K10" s="5" t="n">
        <v>0</v>
      </c>
      <c r="L10" s="5" t="n">
        <v>46308344.52</v>
      </c>
      <c r="M10" s="6" t="n">
        <v>1</v>
      </c>
      <c r="N10" s="5" t="n">
        <v>139805.8599620627</v>
      </c>
      <c r="O10" s="5" t="n">
        <v>139805.8599620627</v>
      </c>
      <c r="P10" s="5" t="n">
        <v>231932.8300379373</v>
      </c>
      <c r="Q10" s="5" t="n">
        <v>0</v>
      </c>
      <c r="R10" s="5" t="n">
        <v>0</v>
      </c>
      <c r="S10" t="inlineStr"/>
    </row>
    <row r="11">
      <c r="A11" t="inlineStr">
        <is>
          <t>E22</t>
        </is>
      </c>
      <c r="B11" t="inlineStr">
        <is>
          <t>Anemoy Tokenized Apollo Diversified Credit Fund (ACRDX)</t>
        </is>
      </c>
      <c r="C11" t="inlineStr">
        <is>
          <t>plume</t>
        </is>
      </c>
      <c r="D11" t="inlineStr">
        <is>
          <t>E</t>
        </is>
      </c>
      <c r="E11" s="5" t="n">
        <v>32739638.94138896</v>
      </c>
      <c r="F11" s="5" t="n">
        <v>32739638.94138896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32739638.94138896</v>
      </c>
      <c r="M11" s="6" t="n">
        <v>1</v>
      </c>
      <c r="N11" s="5" t="n">
        <v>98841.65423083713</v>
      </c>
      <c r="O11" s="5" t="n">
        <v>98841.65423083713</v>
      </c>
      <c r="P11" s="5" t="n">
        <v>-98841.65423083713</v>
      </c>
      <c r="Q11" s="5" t="n">
        <v>0</v>
      </c>
      <c r="R11" s="5" t="n">
        <v>0</v>
      </c>
      <c r="S11" t="inlineStr"/>
    </row>
    <row r="12">
      <c r="A12" t="inlineStr">
        <is>
          <t>E6</t>
        </is>
      </c>
      <c r="B12" t="inlineStr">
        <is>
          <t>Grove x Steakhouse AUSD (Morpho 4626)</t>
        </is>
      </c>
      <c r="C12" t="inlineStr">
        <is>
          <t>ethereum</t>
        </is>
      </c>
      <c r="D12" t="inlineStr">
        <is>
          <t>B</t>
        </is>
      </c>
      <c r="E12" s="5" t="n">
        <v>25056434.04308184</v>
      </c>
      <c r="F12" s="5" t="n">
        <v>25126531.47596437</v>
      </c>
      <c r="G12" s="5" t="n">
        <v>70097.43288252856</v>
      </c>
      <c r="H12" s="5" t="n">
        <v>70097.43288252856</v>
      </c>
      <c r="I12" s="5" t="n">
        <v>0</v>
      </c>
      <c r="J12" s="5" t="n">
        <v>70097.43288252856</v>
      </c>
      <c r="K12" s="5" t="n">
        <v>0</v>
      </c>
      <c r="L12" s="5" t="n">
        <v>25056434.04308184</v>
      </c>
      <c r="M12" s="6" t="n">
        <v>1</v>
      </c>
      <c r="N12" s="5" t="n">
        <v>75645.8980619107</v>
      </c>
      <c r="O12" s="5" t="n">
        <v>75645.8980619107</v>
      </c>
      <c r="P12" s="5" t="n">
        <v>-5548.465179382139</v>
      </c>
      <c r="Q12" s="5" t="n">
        <v>0</v>
      </c>
      <c r="R12" s="5" t="n">
        <v>0</v>
      </c>
      <c r="S12" t="inlineStr"/>
    </row>
    <row r="13">
      <c r="A13" t="inlineStr">
        <is>
          <t>E12</t>
        </is>
      </c>
      <c r="B13" t="inlineStr">
        <is>
          <t>Uniswap V3 AUSD/USDC pool (NFT positions)</t>
        </is>
      </c>
      <c r="C13" t="inlineStr">
        <is>
          <t>ethereum</t>
        </is>
      </c>
      <c r="D13" t="inlineStr">
        <is>
          <t>F</t>
        </is>
      </c>
      <c r="E13" s="5" t="n">
        <v>25037160.415677</v>
      </c>
      <c r="F13" s="5" t="n">
        <v>25049891.340177</v>
      </c>
      <c r="G13" s="5" t="n">
        <v>12730.9245</v>
      </c>
      <c r="H13" s="5" t="n">
        <v>12730.9245</v>
      </c>
      <c r="I13" s="5" t="n">
        <v>0</v>
      </c>
      <c r="J13" s="5" t="n">
        <v>12730.9245</v>
      </c>
      <c r="K13" s="5" t="n">
        <v>0</v>
      </c>
      <c r="L13" s="5" t="n">
        <v>25037160.415677</v>
      </c>
      <c r="M13" s="6" t="n">
        <v>1</v>
      </c>
      <c r="N13" s="5" t="n">
        <v>75587.71057795176</v>
      </c>
      <c r="O13" s="5" t="n">
        <v>75587.71057795176</v>
      </c>
      <c r="P13" s="5" t="n">
        <v>-62856.78607795177</v>
      </c>
      <c r="Q13" s="5" t="n">
        <v>0</v>
      </c>
      <c r="R13" s="5" t="n">
        <v>0</v>
      </c>
      <c r="S13" t="inlineStr"/>
    </row>
    <row r="14">
      <c r="A14" t="inlineStr">
        <is>
          <t>E11</t>
        </is>
      </c>
      <c r="B14" t="inlineStr">
        <is>
          <t>Curve AUSD/USDC stableswap LP</t>
        </is>
      </c>
      <c r="C14" t="inlineStr">
        <is>
          <t>ethereum</t>
        </is>
      </c>
      <c r="D14" t="inlineStr">
        <is>
          <t>F</t>
        </is>
      </c>
      <c r="E14" s="5" t="n">
        <v>25001443.90695427</v>
      </c>
      <c r="F14" s="5" t="n">
        <v>25001777.83428108</v>
      </c>
      <c r="G14" s="5" t="n">
        <v>333.9273268083852</v>
      </c>
      <c r="H14" s="5" t="n">
        <v>333.9273268083852</v>
      </c>
      <c r="I14" s="5" t="n">
        <v>0</v>
      </c>
      <c r="J14" s="5" t="n">
        <v>333.9273268083852</v>
      </c>
      <c r="K14" s="5" t="n">
        <v>0</v>
      </c>
      <c r="L14" s="5" t="n">
        <v>25001443.90695427</v>
      </c>
      <c r="M14" s="6" t="n">
        <v>1</v>
      </c>
      <c r="N14" s="5" t="n">
        <v>75479.88169163371</v>
      </c>
      <c r="O14" s="5" t="n">
        <v>75479.88169163371</v>
      </c>
      <c r="P14" s="5" t="n">
        <v>-75145.95436482533</v>
      </c>
      <c r="Q14" s="5" t="n">
        <v>0</v>
      </c>
      <c r="R14" s="5" t="n">
        <v>0</v>
      </c>
      <c r="S14" t="inlineStr"/>
    </row>
    <row r="15">
      <c r="A15" t="inlineStr">
        <is>
          <t>E4</t>
        </is>
      </c>
      <c r="B15" t="inlineStr">
        <is>
          <t>Grove x Steakhouse USDC (Morpho 4626)</t>
        </is>
      </c>
      <c r="C15" t="inlineStr">
        <is>
          <t>ethereum</t>
        </is>
      </c>
      <c r="D15" t="inlineStr">
        <is>
          <t>B</t>
        </is>
      </c>
      <c r="E15" s="5" t="n">
        <v>9022511.56296834</v>
      </c>
      <c r="F15" s="5" t="n">
        <v>1000397.093686292</v>
      </c>
      <c r="G15" s="5" t="n">
        <v>-8022114.469282049</v>
      </c>
      <c r="H15" s="5" t="n">
        <v>18636.27344777493</v>
      </c>
      <c r="I15" s="5" t="n">
        <v>0</v>
      </c>
      <c r="J15" s="5" t="n">
        <v>18636.27344777493</v>
      </c>
      <c r="K15" s="5" t="n">
        <v>0</v>
      </c>
      <c r="L15" s="5" t="n">
        <v>5698993.637284504</v>
      </c>
      <c r="M15" s="6" t="n">
        <v>1</v>
      </c>
      <c r="N15" s="5" t="n">
        <v>17205.38090137894</v>
      </c>
      <c r="O15" s="5" t="n">
        <v>17205.38090137894</v>
      </c>
      <c r="P15" s="5" t="n">
        <v>1430.892546395995</v>
      </c>
      <c r="Q15" s="5" t="n">
        <v>0</v>
      </c>
      <c r="R15" s="5" t="n">
        <v>0</v>
      </c>
      <c r="S15" t="inlineStr"/>
    </row>
    <row r="16">
      <c r="A16" t="inlineStr">
        <is>
          <t>E19</t>
        </is>
      </c>
      <c r="B16" t="inlineStr">
        <is>
          <t>Grove x Steakhouse USDC High Yield (Base, Morpho 4626)</t>
        </is>
      </c>
      <c r="C16" t="inlineStr">
        <is>
          <t>base</t>
        </is>
      </c>
      <c r="D16" t="inlineStr">
        <is>
          <t>B</t>
        </is>
      </c>
      <c r="E16" s="5" t="n">
        <v>1014520.901611681</v>
      </c>
      <c r="F16" s="5" t="n">
        <v>6027300.885906675</v>
      </c>
      <c r="G16" s="5" t="n">
        <v>5012779.984294995</v>
      </c>
      <c r="H16" s="5" t="n">
        <v>12130.57657011681</v>
      </c>
      <c r="I16" s="5" t="n">
        <v>0</v>
      </c>
      <c r="J16" s="5" t="n">
        <v>12130.57657011681</v>
      </c>
      <c r="K16" s="5" t="n">
        <v>0</v>
      </c>
      <c r="L16" s="5" t="n">
        <v>3514845.60547412</v>
      </c>
      <c r="M16" s="6" t="n">
        <v>1</v>
      </c>
      <c r="N16" s="5" t="n">
        <v>10611.39234409381</v>
      </c>
      <c r="O16" s="5" t="n">
        <v>10611.39234409381</v>
      </c>
      <c r="P16" s="5" t="n">
        <v>1519.184226023005</v>
      </c>
      <c r="Q16" s="5" t="n">
        <v>0</v>
      </c>
      <c r="R16" s="5" t="n">
        <v>0</v>
      </c>
      <c r="S16" t="inlineStr"/>
    </row>
    <row r="17">
      <c r="A17" t="inlineStr">
        <is>
          <t>E15</t>
        </is>
      </c>
      <c r="B17" t="inlineStr">
        <is>
          <t>USDC raw (ALM idle)</t>
        </is>
      </c>
      <c r="C17" t="inlineStr">
        <is>
          <t>ethereum</t>
        </is>
      </c>
      <c r="D17" t="inlineStr">
        <is>
          <t>A</t>
        </is>
      </c>
      <c r="E17" s="5" t="n">
        <v>0</v>
      </c>
      <c r="F17" s="5" t="n">
        <v>7547666.106224</v>
      </c>
      <c r="G17" s="5" t="n">
        <v>7547666.106224</v>
      </c>
      <c r="H17" s="5" t="n">
        <v>-1.60325e-09</v>
      </c>
      <c r="I17" s="5" t="n">
        <v>0</v>
      </c>
      <c r="J17" s="5" t="n">
        <v>-1.60325e-09</v>
      </c>
      <c r="K17" s="5" t="n">
        <v>0</v>
      </c>
      <c r="L17" s="5" t="n">
        <v>618174.3186537673</v>
      </c>
      <c r="M17" s="6" t="n">
        <v>1</v>
      </c>
      <c r="N17" s="5" t="n">
        <v>1866.281188016266</v>
      </c>
      <c r="O17" s="5" t="n">
        <v>1866.281188016266</v>
      </c>
      <c r="P17" s="5" t="n">
        <v>-1866.281188017869</v>
      </c>
      <c r="Q17" s="5" t="n">
        <v>0</v>
      </c>
      <c r="R17" s="5" t="n">
        <v>0</v>
      </c>
      <c r="S17" t="inlineStr"/>
    </row>
    <row r="18">
      <c r="A18" t="inlineStr">
        <is>
          <t>E31</t>
        </is>
      </c>
      <c r="B18" t="inlineStr">
        <is>
          <t>AUSD raw (alt holder idle)</t>
        </is>
      </c>
      <c r="C18" t="inlineStr">
        <is>
          <t>ethereum</t>
        </is>
      </c>
      <c r="D18" t="inlineStr">
        <is>
          <t>A</t>
        </is>
      </c>
      <c r="E18" s="5" t="n">
        <v>10068.978846</v>
      </c>
      <c r="F18" s="5" t="n">
        <v>10068.978846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10068.978846</v>
      </c>
      <c r="M18" s="6" t="n">
        <v>1</v>
      </c>
      <c r="N18" s="5" t="n">
        <v>30.39845758029373</v>
      </c>
      <c r="O18" s="5" t="n">
        <v>30.39845758029373</v>
      </c>
      <c r="P18" s="5" t="n">
        <v>-30.39845758029373</v>
      </c>
      <c r="Q18" s="5" t="n">
        <v>0</v>
      </c>
      <c r="R18" s="5" t="n">
        <v>0</v>
      </c>
      <c r="S18" t="inlineStr"/>
    </row>
    <row r="19">
      <c r="A19" t="inlineStr">
        <is>
          <t>E3</t>
        </is>
      </c>
      <c r="B19" t="inlineStr">
        <is>
          <t>Aave Ethereum RLUSD (aToken)</t>
        </is>
      </c>
      <c r="C19" t="inlineStr">
        <is>
          <t>ethereum</t>
        </is>
      </c>
      <c r="D19" t="inlineStr">
        <is>
          <t>C</t>
        </is>
      </c>
      <c r="E19" s="5" t="n">
        <v>0.3678698313420545</v>
      </c>
      <c r="F19" s="5" t="n">
        <v>0.3685720663589671</v>
      </c>
      <c r="G19" s="5" t="n">
        <v>0.000702235016912599</v>
      </c>
      <c r="H19" s="5" t="n">
        <v>0.000702235016912598</v>
      </c>
      <c r="I19" s="5" t="n">
        <v>0</v>
      </c>
      <c r="J19" s="5" t="n">
        <v>0.000702235016912598</v>
      </c>
      <c r="K19" s="5" t="n">
        <v>0</v>
      </c>
      <c r="L19" s="5" t="n">
        <v>0.3678698313420545</v>
      </c>
      <c r="M19" s="6" t="n">
        <v>1</v>
      </c>
      <c r="N19" s="5" t="n">
        <v>0.001110606709394735</v>
      </c>
      <c r="O19" s="5" t="n">
        <v>0.001110606709394735</v>
      </c>
      <c r="P19" s="5" t="n">
        <v>-0.0004083716924821368</v>
      </c>
      <c r="Q19" s="5" t="n">
        <v>0</v>
      </c>
      <c r="R19" s="5" t="n">
        <v>0</v>
      </c>
      <c r="S19" t="inlineStr"/>
    </row>
    <row r="20">
      <c r="A20" t="inlineStr">
        <is>
          <t>E2</t>
        </is>
      </c>
      <c r="B20" t="inlineStr">
        <is>
          <t>Aave Horizon RWA USDC (aToken)</t>
        </is>
      </c>
      <c r="C20" t="inlineStr">
        <is>
          <t>ethereum</t>
        </is>
      </c>
      <c r="D20" t="inlineStr">
        <is>
          <t>C</t>
        </is>
      </c>
      <c r="E20" s="5" t="n">
        <v>1e-06</v>
      </c>
      <c r="F20" s="5" t="n">
        <v>1e-06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1e-06</v>
      </c>
      <c r="M20" s="6" t="n">
        <v>1</v>
      </c>
      <c r="N20" s="5" t="n">
        <v>3.01902090025443e-09</v>
      </c>
      <c r="O20" s="5" t="n">
        <v>3.01902090025443e-09</v>
      </c>
      <c r="P20" s="5" t="n">
        <v>-3.01902090025443e-09</v>
      </c>
      <c r="Q20" s="5" t="n">
        <v>0</v>
      </c>
      <c r="R20" s="5" t="n">
        <v>0</v>
      </c>
      <c r="S20" t="inlineStr"/>
    </row>
    <row r="21">
      <c r="A21" t="inlineStr">
        <is>
          <t>E5</t>
        </is>
      </c>
      <c r="B21" t="inlineStr">
        <is>
          <t>Grove x Steakhouse USDC High Yield (Morpho 4626)</t>
        </is>
      </c>
      <c r="C21" t="inlineStr">
        <is>
          <t>ethereum</t>
        </is>
      </c>
      <c r="D21" t="inlineStr">
        <is>
          <t>B</t>
        </is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6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t="inlineStr"/>
    </row>
    <row r="22">
      <c r="A22" t="inlineStr">
        <is>
          <t>E30</t>
        </is>
      </c>
      <c r="B22" t="inlineStr">
        <is>
          <t>Uniswap V3 AUSD/USDC pool (NFT positions — alt holder)</t>
        </is>
      </c>
      <c r="C22" t="inlineStr">
        <is>
          <t>ethereum</t>
        </is>
      </c>
      <c r="D22" t="inlineStr">
        <is>
          <t>F</t>
        </is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6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t="inlineStr"/>
    </row>
    <row r="23">
      <c r="A23" t="inlineStr">
        <is>
          <t>E13</t>
        </is>
      </c>
      <c r="B23" t="inlineStr">
        <is>
          <t>RLUSD raw (ALM idle)</t>
        </is>
      </c>
      <c r="C23" t="inlineStr">
        <is>
          <t>ethereum</t>
        </is>
      </c>
      <c r="D23" t="inlineStr">
        <is>
          <t>A</t>
        </is>
      </c>
      <c r="E23" s="5" t="n">
        <v>49596</v>
      </c>
      <c r="F23" s="5" t="n">
        <v>0</v>
      </c>
      <c r="G23" s="5" t="n">
        <v>-49596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6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t="inlineStr"/>
    </row>
    <row r="24">
      <c r="A24" t="inlineStr">
        <is>
          <t>E32</t>
        </is>
      </c>
      <c r="B24" t="inlineStr">
        <is>
          <t>USDC raw (alt holder idle)</t>
        </is>
      </c>
      <c r="C24" t="inlineStr">
        <is>
          <t>ethereum</t>
        </is>
      </c>
      <c r="D24" t="inlineStr">
        <is>
          <t>A</t>
        </is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6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t="inlineStr"/>
    </row>
    <row r="25">
      <c r="A25" t="inlineStr">
        <is>
          <t>E16</t>
        </is>
      </c>
      <c r="B25" t="inlineStr">
        <is>
          <t>DAI raw (ALM idle)</t>
        </is>
      </c>
      <c r="C25" t="inlineStr">
        <is>
          <t>ethereum</t>
        </is>
      </c>
      <c r="D25" t="inlineStr">
        <is>
          <t>A</t>
        </is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6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t="inlineStr"/>
    </row>
    <row r="26">
      <c r="A26" t="inlineStr">
        <is>
          <t>E17</t>
        </is>
      </c>
      <c r="B26" t="inlineStr">
        <is>
          <t>USDS raw / POL (ALM idle — already netted out of utilized)</t>
        </is>
      </c>
      <c r="C26" t="inlineStr">
        <is>
          <t>ethereum</t>
        </is>
      </c>
      <c r="D26" t="inlineStr">
        <is>
          <t>A</t>
        </is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6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t="inlineStr">
        <is>
          <t>CoF excluded (already deducted from utilized)</t>
        </is>
      </c>
    </row>
    <row r="27">
      <c r="A27" t="inlineStr">
        <is>
          <t>E18</t>
        </is>
      </c>
      <c r="B27" t="inlineStr">
        <is>
          <t>sUSDS raw / POL (ALM idle — Cat B 4626)</t>
        </is>
      </c>
      <c r="C27" t="inlineStr">
        <is>
          <t>ethereum</t>
        </is>
      </c>
      <c r="D27" t="inlineStr">
        <is>
          <t>B</t>
        </is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6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t="inlineStr"/>
    </row>
    <row r="28">
      <c r="A28" t="inlineStr">
        <is>
          <t>E24</t>
        </is>
      </c>
      <c r="B28" t="inlineStr">
        <is>
          <t>Steakhouse High Yield PYUSD (Morpho 4626)</t>
        </is>
      </c>
      <c r="C28" t="inlineStr">
        <is>
          <t>ethereum</t>
        </is>
      </c>
      <c r="D28" t="inlineStr">
        <is>
          <t>B</t>
        </is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6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t="inlineStr"/>
    </row>
    <row r="29">
      <c r="A29" t="inlineStr">
        <is>
          <t>E26</t>
        </is>
      </c>
      <c r="B29" t="inlineStr">
        <is>
          <t>PYUSD raw (ALM idle)</t>
        </is>
      </c>
      <c r="C29" t="inlineStr">
        <is>
          <t>ethereum</t>
        </is>
      </c>
      <c r="D29" t="inlineStr">
        <is>
          <t>A</t>
        </is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6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t="inlineStr"/>
    </row>
    <row r="30">
      <c r="A30" t="inlineStr">
        <is>
          <t>E27</t>
        </is>
      </c>
      <c r="B30" t="inlineStr">
        <is>
          <t>USDC raw on Base (ALM idle)</t>
        </is>
      </c>
      <c r="C30" t="inlineStr">
        <is>
          <t>base</t>
        </is>
      </c>
      <c r="D30" t="inlineStr">
        <is>
          <t>A</t>
        </is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6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t="inlineStr"/>
    </row>
    <row r="31">
      <c r="A31" t="inlineStr">
        <is>
          <t>E38</t>
        </is>
      </c>
      <c r="B31" t="inlineStr">
        <is>
          <t>Agora AUSD incentives (cash distribution to Grove Eth ALM)</t>
        </is>
      </c>
      <c r="C31" t="inlineStr">
        <is>
          <t>ethereum</t>
        </is>
      </c>
      <c r="D31" t="inlineStr">
        <is>
          <t>A</t>
        </is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6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t="inlineStr"/>
    </row>
    <row r="32">
      <c r="A32" t="inlineStr">
        <is>
          <t>PSM_CURVE_DEDUCT</t>
        </is>
      </c>
      <c r="B32" t="inlineStr">
        <is>
          <t>PSM3 USDS + PSM3 USDC (SDE) + Curve idle USDS — BR deduction (unattributed)</t>
        </is>
      </c>
      <c r="C32" t="inlineStr"/>
      <c r="D32" t="inlineStr"/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6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t="inlineStr">
        <is>
          <t>BR deduction from PSM3 USDS leg + PSM3 USDC leg (SDE, ≈$0 yield) + Curve idle USDS — not tracked per-venue; residual = sky_rev_br_reduction − Σ(known venue deduction_avg × effective_br_rate × n_days)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</cols>
  <sheetData>
    <row r="1">
      <c r="A1" s="1" t="inlineStr">
        <is>
          <t>How Sky's monthly take is built</t>
        </is>
      </c>
    </row>
    <row r="3">
      <c r="A3" s="7" t="inlineStr">
        <is>
          <t>Rates &amp; subsidy — effective rate charged this period</t>
        </is>
      </c>
    </row>
    <row r="4">
      <c r="A4" s="2" t="inlineStr">
        <is>
          <t>Metric</t>
        </is>
      </c>
      <c r="B4" s="2" t="inlineStr">
        <is>
          <t>Value</t>
        </is>
      </c>
    </row>
    <row r="5">
      <c r="A5" t="inlineStr">
        <is>
          <t>Time-weighted utilized</t>
        </is>
      </c>
      <c r="B5" s="5" t="n">
        <v>1063854744.993378</v>
      </c>
    </row>
    <row r="6">
      <c r="A6" t="inlineStr">
        <is>
          <t xml:space="preserve">  — first $1B (subsidised tranche)</t>
        </is>
      </c>
      <c r="B6" s="5" t="n">
        <v>1000000000</v>
      </c>
    </row>
    <row r="7">
      <c r="A7" t="inlineStr">
        <is>
          <t xml:space="preserve">  — excess (full base-rate tranche)</t>
        </is>
      </c>
      <c r="B7" s="5" t="n">
        <v>63854744.99337839</v>
      </c>
    </row>
    <row r="8">
      <c r="A8" t="inlineStr">
        <is>
          <t>Base rate (BR = SSR + 30bps), period avg</t>
        </is>
      </c>
      <c r="B8" s="6" t="n">
        <v>0.03910800426568259</v>
      </c>
    </row>
    <row r="9">
      <c r="A9" t="inlineStr">
        <is>
          <t>Reference rate (tbill_3m), period avg</t>
        </is>
      </c>
      <c r="B9" s="6" t="n">
        <v>0.03809333333333333</v>
      </c>
    </row>
    <row r="10">
      <c r="A10" t="inlineStr">
        <is>
          <t>Subsidised rate (BR*), period avg</t>
        </is>
      </c>
      <c r="B10" s="6" t="n">
        <v>0.0383047231109061</v>
      </c>
    </row>
    <row r="11">
      <c r="A11" s="7" t="inlineStr">
        <is>
          <t>Effective blended rate charged</t>
        </is>
      </c>
      <c r="B11" s="8" t="n">
        <v>0.03835293769427627</v>
      </c>
    </row>
    <row r="12">
      <c r="A12" s="7" t="inlineStr">
        <is>
          <t>Diff vs base rate (bps)</t>
        </is>
      </c>
      <c r="B12" s="9" t="n">
        <v>-7.550665714063191</v>
      </c>
    </row>
    <row r="13">
      <c r="A13" s="7" t="inlineStr">
        <is>
          <t>Subsidy benefit to prime (USD)</t>
        </is>
      </c>
      <c r="B13" s="10" t="n">
        <v>63571.67819359694</v>
      </c>
    </row>
    <row r="15">
      <c r="A15" t="inlineStr">
        <is>
          <t>CoF at full base rate (no subsidy)</t>
        </is>
      </c>
      <c r="B15" s="3" t="n">
        <v>3354611.45943857</v>
      </c>
    </row>
    <row r="16">
      <c r="A16" t="inlineStr">
        <is>
          <t xml:space="preserve">  − actual CoF (subsidy on first tranche)</t>
        </is>
      </c>
      <c r="B16" s="3" t="n">
        <v>3291039.781244973</v>
      </c>
    </row>
    <row r="17">
      <c r="A17" s="7" t="inlineStr">
        <is>
          <t xml:space="preserve">  = subsidy benefit</t>
        </is>
      </c>
      <c r="B17" s="10" t="n">
        <v>63571.67819359694</v>
      </c>
    </row>
    <row r="19">
      <c r="A19" s="2" t="inlineStr">
        <is>
          <t>Tranche</t>
        </is>
      </c>
      <c r="B19" s="2" t="inlineStr">
        <is>
          <t>Avg balance</t>
        </is>
      </c>
      <c r="C19" s="2" t="inlineStr">
        <is>
          <t>CoF (USD)</t>
        </is>
      </c>
    </row>
    <row r="20">
      <c r="A20" t="inlineStr">
        <is>
          <t>Subsidised (first $1B)</t>
        </is>
      </c>
      <c r="B20" s="5" t="n">
        <v>1000000000</v>
      </c>
      <c r="C20" s="3" t="n">
        <v>3089689.117254046</v>
      </c>
    </row>
    <row r="21">
      <c r="A21" t="inlineStr">
        <is>
          <t>Excess (&gt; cap)</t>
        </is>
      </c>
      <c r="B21" s="5" t="n">
        <v>63854744.99337839</v>
      </c>
      <c r="C21" s="3" t="n">
        <v>201350.6639909268</v>
      </c>
    </row>
    <row r="23">
      <c r="A23" s="2" t="inlineStr">
        <is>
          <t>Component</t>
        </is>
      </c>
      <c r="B23" s="2" t="inlineStr">
        <is>
          <t>USD</t>
        </is>
      </c>
    </row>
    <row r="24">
      <c r="A24" t="inlineStr">
        <is>
          <t>CoF on utilized debt (= Σ_d max(utilized_d,0) × (1+BR_d)^(1/365)−1)</t>
        </is>
      </c>
      <c r="B24" s="3" t="n">
        <v>3291039.781244973</v>
      </c>
    </row>
    <row r="25">
      <c r="A25" t="inlineStr">
        <is>
          <t>+ Sky-Direct revenue (full venue yield on fixed/capped SDE)</t>
        </is>
      </c>
      <c r="B25" s="3" t="n">
        <v>4709026.177726324</v>
      </c>
    </row>
    <row r="26">
      <c r="A26" t="inlineStr">
        <is>
          <t>equals sky_revenue (total Sky take this month)</t>
        </is>
      </c>
      <c r="B26" s="3" t="n">
        <v>8000065.958971297</v>
      </c>
    </row>
    <row r="28">
      <c r="A28" s="11" t="inlineStr">
        <is>
          <t>Utilized base = cum_debt − idle USDS − PSM USDS − Σ SDE asset value − Curve idle − lending idle</t>
        </is>
      </c>
    </row>
    <row r="30">
      <c r="A30" s="7" t="inlineStr">
        <is>
          <t>Sky Revenue (max) — BR × full ilk debt (no deductions)</t>
        </is>
      </c>
      <c r="B30" s="3" t="n">
        <v>8225450.871941987</v>
      </c>
    </row>
    <row r="31">
      <c r="A31" t="inlineStr">
        <is>
          <t xml:space="preserve">    ↳ actual CoF on Net_Subs (BR × utilized)</t>
        </is>
      </c>
      <c r="B31" s="3" t="n">
        <v>3291039.781244973</v>
      </c>
    </row>
    <row r="32">
      <c r="A32" t="inlineStr">
        <is>
          <t xml:space="preserve">    ↳ reduction from idle/SDE deductions</t>
        </is>
      </c>
      <c r="B32" s="3" t="n">
        <v>-4934411.090697014</v>
      </c>
    </row>
    <row r="33" ht="60" customHeight="1">
      <c r="A33" s="12" t="inlineStr">
        <is>
          <t>Note: sky_revenue can EXCEED sky_revenue_gross for primes with active SDE positions — sky_revenue also adds sde_revenue on top of BR-on-utilized. The subsidised BR (ref_rate ramp) is already applied here; this is NOT the raw Maker base rate.</t>
        </is>
      </c>
    </row>
    <row r="35">
      <c r="A35" s="2" t="inlineStr">
        <is>
          <t>Subsidy</t>
        </is>
      </c>
      <c r="B35" s="2" t="inlineStr">
        <is>
          <t>Value</t>
        </is>
      </c>
    </row>
    <row r="36">
      <c r="A36" t="inlineStr">
        <is>
          <t>enabled</t>
        </is>
      </c>
      <c r="B36" t="inlineStr">
        <is>
          <t>true</t>
        </is>
      </c>
    </row>
    <row r="37">
      <c r="A37" t="inlineStr">
        <is>
          <t>cap_usd</t>
        </is>
      </c>
      <c r="B37" s="5" t="n">
        <v>1000000000</v>
      </c>
    </row>
    <row r="38">
      <c r="A38" t="inlineStr">
        <is>
          <t>program_start</t>
        </is>
      </c>
      <c r="B38" t="inlineStr">
        <is>
          <t>2026-01-01</t>
        </is>
      </c>
    </row>
    <row r="39">
      <c r="A39" t="inlineStr">
        <is>
          <t>ramp_months</t>
        </is>
      </c>
      <c r="B39" t="n">
        <v>24</v>
      </c>
    </row>
    <row r="40">
      <c r="A40" t="inlineStr">
        <is>
          <t>ref_rate_kind</t>
        </is>
      </c>
      <c r="B40" t="inlineStr">
        <is>
          <t>tbill_3m</t>
        </is>
      </c>
    </row>
    <row r="41">
      <c r="A41" t="inlineStr">
        <is>
          <t>T this period</t>
        </is>
      </c>
      <c r="B41" t="inlineStr">
        <is>
          <t>5 (SoM) → 5 (EoM)</t>
        </is>
      </c>
    </row>
    <row r="42">
      <c r="A42" s="11" t="inlineStr">
        <is>
          <t>Formula</t>
        </is>
      </c>
      <c r="B42" t="inlineStr">
        <is>
          <t>subsidised_apy = ref_rate + (base_apy − ref_rate) × min(T, 24) / 24, applied to first cap_usd of utilized; excess at full base_apy</t>
        </is>
      </c>
    </row>
    <row r="44">
      <c r="A44" s="11" t="inlineStr">
        <is>
          <t>Base rate composition: base_apy = (1 + SSR)(1 + 30bps) − 1 (multiplicative)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  <col width="8" customWidth="1" min="6" max="6"/>
    <col width="50" customWidth="1" min="7" max="7"/>
    <col width="25" customWidth="1" min="8" max="8"/>
    <col width="16" customWidth="1" min="9" max="9"/>
    <col width="18" customWidth="1" min="10" max="10"/>
  </cols>
  <sheetData>
    <row r="1">
      <c r="A1" s="1" t="inlineStr">
        <is>
          <t>Sky-Direct Exposures applied this period</t>
        </is>
      </c>
    </row>
    <row r="3">
      <c r="A3" s="2" t="inlineStr">
        <is>
          <t>Venue</t>
        </is>
      </c>
      <c r="B3" s="2" t="inlineStr">
        <is>
          <t>Kind</t>
        </is>
      </c>
      <c r="C3" s="2" t="inlineStr">
        <is>
          <t>Cap (USD)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Active?</t>
        </is>
      </c>
      <c r="G3" s="2" t="inlineStr">
        <is>
          <t>Source</t>
        </is>
      </c>
      <c r="H3" s="2" t="inlineStr">
        <is>
          <t>Label</t>
        </is>
      </c>
      <c r="I3" s="2" t="inlineStr">
        <is>
          <t>actual_revenue</t>
        </is>
      </c>
      <c r="J3" s="2" t="inlineStr">
        <is>
          <t>sd_revenue (to Sky)</t>
        </is>
      </c>
    </row>
    <row r="4">
      <c r="A4" t="inlineStr">
        <is>
          <t>E10</t>
        </is>
      </c>
      <c r="B4" t="inlineStr">
        <is>
          <t>fixed</t>
        </is>
      </c>
      <c r="C4" t="inlineStr"/>
      <c r="D4" t="inlineStr">
        <is>
          <t>2025-10-30</t>
        </is>
      </c>
      <c r="E4" t="inlineStr">
        <is>
          <t>—</t>
        </is>
      </c>
      <c r="F4" t="inlineStr">
        <is>
          <t>YES</t>
        </is>
      </c>
      <c r="G4" t="inlineStr">
        <is>
          <t>Atlas A.2.2.9.1.1.1.1.1 — Treasury Bills</t>
        </is>
      </c>
      <c r="H4" t="inlineStr">
        <is>
          <t>BUIDL on Eth</t>
        </is>
      </c>
      <c r="I4" s="5" t="n">
        <v>2177793.85</v>
      </c>
      <c r="J4" s="5" t="n">
        <v>2177793.85</v>
      </c>
    </row>
    <row r="5">
      <c r="A5" t="inlineStr">
        <is>
          <t>E9</t>
        </is>
      </c>
      <c r="B5" t="inlineStr">
        <is>
          <t>fixed</t>
        </is>
      </c>
      <c r="C5" t="inlineStr"/>
      <c r="D5" t="inlineStr">
        <is>
          <t>2025-10-30</t>
        </is>
      </c>
      <c r="E5" t="inlineStr">
        <is>
          <t>—</t>
        </is>
      </c>
      <c r="F5" t="inlineStr">
        <is>
          <t>YES</t>
        </is>
      </c>
      <c r="G5" t="inlineStr">
        <is>
          <t>Atlas A.2.2.9.1.1.1.1.1 — Treasury Bills</t>
        </is>
      </c>
      <c r="H5" t="inlineStr">
        <is>
          <t>JTRSY on Eth</t>
        </is>
      </c>
      <c r="I5" s="5" t="n">
        <v>2531232.327726324</v>
      </c>
      <c r="J5" s="5" t="n">
        <v>2531232.327726324</v>
      </c>
    </row>
    <row r="6">
      <c r="A6" t="inlineStr">
        <is>
          <t>E8</t>
        </is>
      </c>
      <c r="B6" t="inlineStr">
        <is>
          <t>capped</t>
        </is>
      </c>
      <c r="C6" s="5" t="n">
        <v>325000000</v>
      </c>
      <c r="D6" t="inlineStr">
        <is>
          <t>2025-10-23</t>
        </is>
      </c>
      <c r="E6" t="inlineStr">
        <is>
          <t>2026-03-12</t>
        </is>
      </c>
      <c r="F6" t="inlineStr">
        <is>
          <t>no</t>
        </is>
      </c>
      <c r="G6" t="inlineStr">
        <is>
          <t>Atlas A.2.2.9.1.1.1.1.3.0.6.1 — Historical SDE</t>
        </is>
      </c>
      <c r="H6" t="inlineStr">
        <is>
          <t>JAAA on Eth (≤ $325M)</t>
        </is>
      </c>
      <c r="I6" s="5" t="n">
        <v>385937.8162022202</v>
      </c>
      <c r="J6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0" customWidth="1" min="10" max="10"/>
    <col width="11" customWidth="1" min="11" max="11"/>
    <col width="12" customWidth="1" min="12" max="12"/>
    <col width="11" customWidth="1" min="13" max="13"/>
    <col width="18" customWidth="1" min="14" max="14"/>
    <col width="22" customWidth="1" min="15" max="15"/>
  </cols>
  <sheetData>
    <row r="1">
      <c r="A1" s="1" t="inlineStr">
        <is>
          <t>Daily ilk debt + Sky charge breakdown</t>
        </is>
      </c>
    </row>
    <row r="3" ht="45" customHeight="1">
      <c r="A3" s="12" t="inlineStr">
        <is>
          <t>cum_debt = Σ on-chain Vat dart from frob (0x76088703) + grab (0x7bab3f40), then scaled by Vat.ilks[ilk].rate_d / 1e27 read at each day's EoD block — actual outstanding USDS per day, not raw normalised Art. utilized = cum_debt − Σ deductions. base_apy = (1+SSR)(1+0.003)−1 (multiplicative). sub_apy applies on the first cap_usd of utilized when the subsidy is active; excess pays base_apy.</t>
        </is>
      </c>
    </row>
    <row r="5">
      <c r="A5" s="2" t="inlineStr">
        <is>
          <t>Date</t>
        </is>
      </c>
      <c r="B5" s="2" t="inlineStr">
        <is>
          <t>cum_debt</t>
        </is>
      </c>
      <c r="C5" s="2" t="inlineStr">
        <is>
          <t>− ALM idle</t>
        </is>
      </c>
      <c r="D5" s="2" t="inlineStr">
        <is>
          <t>− PSM USDS</t>
        </is>
      </c>
      <c r="E5" s="2" t="inlineStr">
        <is>
          <t>− SDE NAV</t>
        </is>
      </c>
      <c r="F5" s="2" t="inlineStr">
        <is>
          <t>− Curve idle</t>
        </is>
      </c>
      <c r="G5" s="2" t="inlineStr">
        <is>
          <t>− Lending idle</t>
        </is>
      </c>
      <c r="H5" s="2">
        <f> utilized</f>
        <v/>
      </c>
      <c r="I5" s="2" t="inlineStr">
        <is>
          <t>SSR APY</t>
        </is>
      </c>
      <c r="J5" s="2" t="inlineStr">
        <is>
          <t>base APY</t>
        </is>
      </c>
      <c r="K5" s="2" t="inlineStr">
        <is>
          <t>T (months)</t>
        </is>
      </c>
      <c r="L5" s="2" t="inlineStr">
        <is>
          <t>ref_rate APY</t>
        </is>
      </c>
      <c r="M5" s="2" t="inlineStr">
        <is>
          <t>sub APY</t>
        </is>
      </c>
      <c r="N5" s="2" t="inlineStr">
        <is>
          <t>daily Sky charge</t>
        </is>
      </c>
      <c r="O5" s="2" t="inlineStr">
        <is>
          <t>daily Sky charge (gross on cum_debt)</t>
        </is>
      </c>
    </row>
    <row r="6">
      <c r="A6" t="inlineStr">
        <is>
          <t>2026-06-01</t>
        </is>
      </c>
      <c r="B6" s="5" t="n">
        <v>2660707849.368061</v>
      </c>
      <c r="C6" s="5" t="n">
        <v>-7.450580596923828e-09</v>
      </c>
      <c r="D6" s="5" t="n">
        <v>0</v>
      </c>
      <c r="E6" s="5" t="n">
        <v>1562803440.277014</v>
      </c>
      <c r="F6" s="5" t="n">
        <v>0</v>
      </c>
      <c r="G6" s="5" t="n">
        <v>0</v>
      </c>
      <c r="H6" s="5" t="n">
        <v>1097904409.091047</v>
      </c>
      <c r="I6" s="6" t="n">
        <v>0.03600000425292382</v>
      </c>
      <c r="J6" s="6" t="n">
        <v>0.03910800426568259</v>
      </c>
      <c r="K6" t="n">
        <v>5</v>
      </c>
      <c r="L6" s="6" t="n">
        <v>0.0378</v>
      </c>
      <c r="M6" s="6" t="n">
        <v>0.03807250088868387</v>
      </c>
      <c r="N6" s="3" t="n">
        <v>112667.4309969919</v>
      </c>
      <c r="O6" s="3" t="n">
        <v>276931.6583041989</v>
      </c>
    </row>
    <row r="7">
      <c r="A7" t="inlineStr">
        <is>
          <t>2026-06-02</t>
        </is>
      </c>
      <c r="B7" s="5" t="n">
        <v>2635712848.298114</v>
      </c>
      <c r="C7" s="5" t="n">
        <v>-7.450580596923828e-09</v>
      </c>
      <c r="D7" s="5" t="n">
        <v>0</v>
      </c>
      <c r="E7" s="5" t="n">
        <v>1562919042.522098</v>
      </c>
      <c r="F7" s="5" t="n">
        <v>0</v>
      </c>
      <c r="G7" s="5" t="n">
        <v>0</v>
      </c>
      <c r="H7" s="5" t="n">
        <v>1072793805.776016</v>
      </c>
      <c r="I7" s="6" t="n">
        <v>0.03600000425292382</v>
      </c>
      <c r="J7" s="6" t="n">
        <v>0.03910800426568259</v>
      </c>
      <c r="K7" t="n">
        <v>5</v>
      </c>
      <c r="L7" s="6" t="n">
        <v>0.0378</v>
      </c>
      <c r="M7" s="6" t="n">
        <v>0.03807250088868387</v>
      </c>
      <c r="N7" s="3" t="n">
        <v>110028.0882975477</v>
      </c>
      <c r="O7" s="3" t="n">
        <v>274304.4664056644</v>
      </c>
    </row>
    <row r="8">
      <c r="A8" t="inlineStr">
        <is>
          <t>2026-06-03</t>
        </is>
      </c>
      <c r="B8" s="5" t="n">
        <v>2635712848.298114</v>
      </c>
      <c r="C8" s="5" t="n">
        <v>-7.450580596923828e-09</v>
      </c>
      <c r="D8" s="5" t="n">
        <v>0</v>
      </c>
      <c r="E8" s="5" t="n">
        <v>1563070798.68458</v>
      </c>
      <c r="F8" s="5" t="n">
        <v>0</v>
      </c>
      <c r="G8" s="5" t="n">
        <v>0</v>
      </c>
      <c r="H8" s="5" t="n">
        <v>1072642049.613534</v>
      </c>
      <c r="I8" s="6" t="n">
        <v>0.03600000425292382</v>
      </c>
      <c r="J8" s="6" t="n">
        <v>0.03910800426568259</v>
      </c>
      <c r="K8" t="n">
        <v>5</v>
      </c>
      <c r="L8" s="6" t="n">
        <v>0.0378</v>
      </c>
      <c r="M8" s="6" t="n">
        <v>0.03807250088868387</v>
      </c>
      <c r="N8" s="3" t="n">
        <v>110012.137405627</v>
      </c>
      <c r="O8" s="3" t="n">
        <v>274304.4664056644</v>
      </c>
    </row>
    <row r="9">
      <c r="A9" t="inlineStr">
        <is>
          <t>2026-06-04</t>
        </is>
      </c>
      <c r="B9" s="5" t="n">
        <v>2610717847.298114</v>
      </c>
      <c r="C9" s="5" t="n">
        <v>-7.450580596923828e-09</v>
      </c>
      <c r="D9" s="5" t="n">
        <v>0</v>
      </c>
      <c r="E9" s="5" t="n">
        <v>1563216316.510489</v>
      </c>
      <c r="F9" s="5" t="n">
        <v>0</v>
      </c>
      <c r="G9" s="5" t="n">
        <v>0</v>
      </c>
      <c r="H9" s="5" t="n">
        <v>1047501530.787625</v>
      </c>
      <c r="I9" s="6" t="n">
        <v>0.03600000425292382</v>
      </c>
      <c r="J9" s="6" t="n">
        <v>0.03910800426568259</v>
      </c>
      <c r="K9" t="n">
        <v>5</v>
      </c>
      <c r="L9" s="6" t="n">
        <v>0.0378</v>
      </c>
      <c r="M9" s="6" t="n">
        <v>0.03807250088868387</v>
      </c>
      <c r="N9" s="3" t="n">
        <v>107369.6503259286</v>
      </c>
      <c r="O9" s="3" t="n">
        <v>271677.2745144819</v>
      </c>
    </row>
    <row r="10">
      <c r="A10" t="inlineStr">
        <is>
          <t>2026-06-05</t>
        </is>
      </c>
      <c r="B10" s="5" t="n">
        <v>2610717847.298114</v>
      </c>
      <c r="C10" s="5" t="n">
        <v>-7.450580596923828e-09</v>
      </c>
      <c r="D10" s="5" t="n">
        <v>0</v>
      </c>
      <c r="E10" s="5" t="n">
        <v>1563367988.961769</v>
      </c>
      <c r="F10" s="5" t="n">
        <v>0</v>
      </c>
      <c r="G10" s="5" t="n">
        <v>0</v>
      </c>
      <c r="H10" s="5" t="n">
        <v>1047349858.336345</v>
      </c>
      <c r="I10" s="6" t="n">
        <v>0.03600000425292382</v>
      </c>
      <c r="J10" s="6" t="n">
        <v>0.03910800426568259</v>
      </c>
      <c r="K10" t="n">
        <v>5</v>
      </c>
      <c r="L10" s="6" t="n">
        <v>0.0378</v>
      </c>
      <c r="M10" s="6" t="n">
        <v>0.03807250088868387</v>
      </c>
      <c r="N10" s="3" t="n">
        <v>107353.7082327829</v>
      </c>
      <c r="O10" s="3" t="n">
        <v>271677.2745144819</v>
      </c>
    </row>
    <row r="11">
      <c r="A11" t="inlineStr">
        <is>
          <t>2026-06-06</t>
        </is>
      </c>
      <c r="B11" s="5" t="n">
        <v>2610717847.298114</v>
      </c>
      <c r="C11" s="5" t="n">
        <v>-7.450580596923828e-09</v>
      </c>
      <c r="D11" s="5" t="n">
        <v>0</v>
      </c>
      <c r="E11" s="5" t="n">
        <v>1563367988.961769</v>
      </c>
      <c r="F11" s="5" t="n">
        <v>0</v>
      </c>
      <c r="G11" s="5" t="n">
        <v>0</v>
      </c>
      <c r="H11" s="5" t="n">
        <v>1047349858.336345</v>
      </c>
      <c r="I11" s="6" t="n">
        <v>0.03600000425292382</v>
      </c>
      <c r="J11" s="6" t="n">
        <v>0.03910800426568259</v>
      </c>
      <c r="K11" t="n">
        <v>5</v>
      </c>
      <c r="L11" s="6" t="n">
        <v>0.0378</v>
      </c>
      <c r="M11" s="6" t="n">
        <v>0.03807250088868387</v>
      </c>
      <c r="N11" s="3" t="n">
        <v>107353.7082327829</v>
      </c>
      <c r="O11" s="3" t="n">
        <v>271677.2745144819</v>
      </c>
    </row>
    <row r="12">
      <c r="A12" t="inlineStr">
        <is>
          <t>2026-06-07</t>
        </is>
      </c>
      <c r="B12" s="5" t="n">
        <v>2610717847.298114</v>
      </c>
      <c r="C12" s="5" t="n">
        <v>-7.450580596923828e-09</v>
      </c>
      <c r="D12" s="5" t="n">
        <v>0</v>
      </c>
      <c r="E12" s="5" t="n">
        <v>1563367988.961769</v>
      </c>
      <c r="F12" s="5" t="n">
        <v>0</v>
      </c>
      <c r="G12" s="5" t="n">
        <v>0</v>
      </c>
      <c r="H12" s="5" t="n">
        <v>1047349858.336345</v>
      </c>
      <c r="I12" s="6" t="n">
        <v>0.03600000425292382</v>
      </c>
      <c r="J12" s="6" t="n">
        <v>0.03910800426568259</v>
      </c>
      <c r="K12" t="n">
        <v>5</v>
      </c>
      <c r="L12" s="6" t="n">
        <v>0.0378</v>
      </c>
      <c r="M12" s="6" t="n">
        <v>0.03807250088868387</v>
      </c>
      <c r="N12" s="3" t="n">
        <v>107353.7082327829</v>
      </c>
      <c r="O12" s="3" t="n">
        <v>271677.2745144819</v>
      </c>
    </row>
    <row r="13">
      <c r="A13" t="inlineStr">
        <is>
          <t>2026-06-08</t>
        </is>
      </c>
      <c r="B13" s="5" t="n">
        <v>2610717847.298114</v>
      </c>
      <c r="C13" s="5" t="n">
        <v>-7.450580596923828e-09</v>
      </c>
      <c r="D13" s="5" t="n">
        <v>0</v>
      </c>
      <c r="E13" s="5" t="n">
        <v>1563802597.586363</v>
      </c>
      <c r="F13" s="5" t="n">
        <v>0</v>
      </c>
      <c r="G13" s="5" t="n">
        <v>0</v>
      </c>
      <c r="H13" s="5" t="n">
        <v>1046915249.711751</v>
      </c>
      <c r="I13" s="6" t="n">
        <v>0.03600000425292382</v>
      </c>
      <c r="J13" s="6" t="n">
        <v>0.03910800426568259</v>
      </c>
      <c r="K13" t="n">
        <v>5</v>
      </c>
      <c r="L13" s="6" t="n">
        <v>0.038</v>
      </c>
      <c r="M13" s="6" t="n">
        <v>0.03823083422201721</v>
      </c>
      <c r="N13" s="3" t="n">
        <v>107725.9182973987</v>
      </c>
      <c r="O13" s="3" t="n">
        <v>272095.1657236742</v>
      </c>
    </row>
    <row r="14">
      <c r="A14" t="inlineStr">
        <is>
          <t>2026-06-09</t>
        </is>
      </c>
      <c r="B14" s="5" t="n">
        <v>2610717847.298114</v>
      </c>
      <c r="C14" s="5" t="n">
        <v>-7.450580596923828e-09</v>
      </c>
      <c r="D14" s="5" t="n">
        <v>0</v>
      </c>
      <c r="E14" s="5" t="n">
        <v>1563948986.734528</v>
      </c>
      <c r="F14" s="5" t="n">
        <v>0</v>
      </c>
      <c r="G14" s="5" t="n">
        <v>0</v>
      </c>
      <c r="H14" s="5" t="n">
        <v>1046768860.563586</v>
      </c>
      <c r="I14" s="6" t="n">
        <v>0.03600000425292382</v>
      </c>
      <c r="J14" s="6" t="n">
        <v>0.03910800426568259</v>
      </c>
      <c r="K14" t="n">
        <v>5</v>
      </c>
      <c r="L14" s="6" t="n">
        <v>0.038</v>
      </c>
      <c r="M14" s="6" t="n">
        <v>0.03823083422201721</v>
      </c>
      <c r="N14" s="3" t="n">
        <v>107710.5315253391</v>
      </c>
      <c r="O14" s="3" t="n">
        <v>272095.1657236742</v>
      </c>
    </row>
    <row r="15">
      <c r="A15" t="inlineStr">
        <is>
          <t>2026-06-10</t>
        </is>
      </c>
      <c r="B15" s="5" t="n">
        <v>2607346108.608114</v>
      </c>
      <c r="C15" s="5" t="n">
        <v>-7.450580596923828e-09</v>
      </c>
      <c r="D15" s="5" t="n">
        <v>0</v>
      </c>
      <c r="E15" s="5" t="n">
        <v>1564100574.777484</v>
      </c>
      <c r="F15" s="5" t="n">
        <v>0</v>
      </c>
      <c r="G15" s="5" t="n">
        <v>0</v>
      </c>
      <c r="H15" s="5" t="n">
        <v>1043245533.83063</v>
      </c>
      <c r="I15" s="6" t="n">
        <v>0.03600000425292382</v>
      </c>
      <c r="J15" s="6" t="n">
        <v>0.03910800426568259</v>
      </c>
      <c r="K15" t="n">
        <v>5</v>
      </c>
      <c r="L15" s="6" t="n">
        <v>0.038</v>
      </c>
      <c r="M15" s="6" t="n">
        <v>0.03823083422201721</v>
      </c>
      <c r="N15" s="3" t="n">
        <v>107340.1992567863</v>
      </c>
      <c r="O15" s="3" t="n">
        <v>271740.7666762185</v>
      </c>
    </row>
    <row r="16">
      <c r="A16" t="inlineStr">
        <is>
          <t>2026-06-11</t>
        </is>
      </c>
      <c r="B16" s="5" t="n">
        <v>2587350107.808114</v>
      </c>
      <c r="C16" s="5" t="n">
        <v>-7.450580596923828e-09</v>
      </c>
      <c r="D16" s="5" t="n">
        <v>0</v>
      </c>
      <c r="E16" s="5" t="n">
        <v>1564246963.362818</v>
      </c>
      <c r="F16" s="5" t="n">
        <v>0</v>
      </c>
      <c r="G16" s="5" t="n">
        <v>0</v>
      </c>
      <c r="H16" s="5" t="n">
        <v>1023103144.445297</v>
      </c>
      <c r="I16" s="6" t="n">
        <v>0.03600000425292382</v>
      </c>
      <c r="J16" s="6" t="n">
        <v>0.03910800426568259</v>
      </c>
      <c r="K16" t="n">
        <v>5</v>
      </c>
      <c r="L16" s="6" t="n">
        <v>0.038</v>
      </c>
      <c r="M16" s="6" t="n">
        <v>0.03823083422201721</v>
      </c>
      <c r="N16" s="3" t="n">
        <v>105223.0590309393</v>
      </c>
      <c r="O16" s="3" t="n">
        <v>269639.0131632725</v>
      </c>
    </row>
    <row r="17">
      <c r="A17" t="inlineStr">
        <is>
          <t>2026-06-12</t>
        </is>
      </c>
      <c r="B17" s="5" t="n">
        <v>2571628719.658114</v>
      </c>
      <c r="C17" s="5" t="n">
        <v>-7.450580596923828e-09</v>
      </c>
      <c r="D17" s="5" t="n">
        <v>0</v>
      </c>
      <c r="E17" s="5" t="n">
        <v>1564403201.521099</v>
      </c>
      <c r="F17" s="5" t="n">
        <v>0</v>
      </c>
      <c r="G17" s="5" t="n">
        <v>0</v>
      </c>
      <c r="H17" s="5" t="n">
        <v>1007225518.137015</v>
      </c>
      <c r="I17" s="6" t="n">
        <v>0.03600000425292382</v>
      </c>
      <c r="J17" s="6" t="n">
        <v>0.03910800426568259</v>
      </c>
      <c r="K17" t="n">
        <v>5</v>
      </c>
      <c r="L17" s="6" t="n">
        <v>0.038</v>
      </c>
      <c r="M17" s="6" t="n">
        <v>0.03823083422201721</v>
      </c>
      <c r="N17" s="3" t="n">
        <v>103554.1824788502</v>
      </c>
      <c r="O17" s="3" t="n">
        <v>267986.5585998255</v>
      </c>
    </row>
    <row r="18">
      <c r="A18" t="inlineStr">
        <is>
          <t>2026-06-13</t>
        </is>
      </c>
      <c r="B18" s="5" t="n">
        <v>2588630799.911852</v>
      </c>
      <c r="C18" s="5" t="n">
        <v>-7.450580596923828e-09</v>
      </c>
      <c r="D18" s="5" t="n">
        <v>0</v>
      </c>
      <c r="E18" s="5" t="n">
        <v>1564403201.521099</v>
      </c>
      <c r="F18" s="5" t="n">
        <v>0</v>
      </c>
      <c r="G18" s="5" t="n">
        <v>0</v>
      </c>
      <c r="H18" s="5" t="n">
        <v>1024227598.390753</v>
      </c>
      <c r="I18" s="6" t="n">
        <v>0.03600000425292382</v>
      </c>
      <c r="J18" s="6" t="n">
        <v>0.03910800426568259</v>
      </c>
      <c r="K18" t="n">
        <v>5</v>
      </c>
      <c r="L18" s="6" t="n">
        <v>0.038</v>
      </c>
      <c r="M18" s="6" t="n">
        <v>0.03823083422201721</v>
      </c>
      <c r="N18" s="3" t="n">
        <v>105341.2489156891</v>
      </c>
      <c r="O18" s="3" t="n">
        <v>269773.6250366644</v>
      </c>
    </row>
    <row r="19">
      <c r="A19" t="inlineStr">
        <is>
          <t>2026-06-14</t>
        </is>
      </c>
      <c r="B19" s="5" t="n">
        <v>2601630799.911852</v>
      </c>
      <c r="C19" s="5" t="n">
        <v>-7.450580596923828e-09</v>
      </c>
      <c r="D19" s="5" t="n">
        <v>0</v>
      </c>
      <c r="E19" s="5" t="n">
        <v>1564403201.521099</v>
      </c>
      <c r="F19" s="5" t="n">
        <v>0</v>
      </c>
      <c r="G19" s="5" t="n">
        <v>0</v>
      </c>
      <c r="H19" s="5" t="n">
        <v>1037227598.390753</v>
      </c>
      <c r="I19" s="6" t="n">
        <v>0.03600000425292382</v>
      </c>
      <c r="J19" s="6" t="n">
        <v>0.03910800426568259</v>
      </c>
      <c r="K19" t="n">
        <v>5</v>
      </c>
      <c r="L19" s="6" t="n">
        <v>0.038</v>
      </c>
      <c r="M19" s="6" t="n">
        <v>0.03823083422201721</v>
      </c>
      <c r="N19" s="3" t="n">
        <v>106707.6619270497</v>
      </c>
      <c r="O19" s="3" t="n">
        <v>271140.038048025</v>
      </c>
    </row>
    <row r="20">
      <c r="A20" t="inlineStr">
        <is>
          <t>2026-06-15</t>
        </is>
      </c>
      <c r="B20" s="5" t="n">
        <v>2629631195.520186</v>
      </c>
      <c r="C20" s="5" t="n">
        <v>-7.450580596923828e-09</v>
      </c>
      <c r="D20" s="5" t="n">
        <v>0</v>
      </c>
      <c r="E20" s="5" t="n">
        <v>1564845869.242465</v>
      </c>
      <c r="F20" s="5" t="n">
        <v>0</v>
      </c>
      <c r="G20" s="5" t="n">
        <v>0</v>
      </c>
      <c r="H20" s="5" t="n">
        <v>1064785326.277721</v>
      </c>
      <c r="I20" s="6" t="n">
        <v>0.03600000425292382</v>
      </c>
      <c r="J20" s="6" t="n">
        <v>0.03910800426568259</v>
      </c>
      <c r="K20" t="n">
        <v>5</v>
      </c>
      <c r="L20" s="6" t="n">
        <v>0.0379</v>
      </c>
      <c r="M20" s="6" t="n">
        <v>0.03815166755535054</v>
      </c>
      <c r="N20" s="3" t="n">
        <v>109395.2810326846</v>
      </c>
      <c r="O20" s="3" t="n">
        <v>273874.1853793664</v>
      </c>
    </row>
    <row r="21">
      <c r="A21" t="inlineStr">
        <is>
          <t>2026-06-16</t>
        </is>
      </c>
      <c r="B21" s="5" t="n">
        <v>2642631195.520186</v>
      </c>
      <c r="C21" s="5" t="n">
        <v>-7.450580596923828e-09</v>
      </c>
      <c r="D21" s="5" t="n">
        <v>0</v>
      </c>
      <c r="E21" s="5" t="n">
        <v>1564996116.130552</v>
      </c>
      <c r="F21" s="5" t="n">
        <v>0</v>
      </c>
      <c r="G21" s="5" t="n">
        <v>0</v>
      </c>
      <c r="H21" s="5" t="n">
        <v>1077635079.389634</v>
      </c>
      <c r="I21" s="6" t="n">
        <v>0.03600000425292382</v>
      </c>
      <c r="J21" s="6" t="n">
        <v>0.03910800426568259</v>
      </c>
      <c r="K21" t="n">
        <v>5</v>
      </c>
      <c r="L21" s="6" t="n">
        <v>0.0379</v>
      </c>
      <c r="M21" s="6" t="n">
        <v>0.03815166755535054</v>
      </c>
      <c r="N21" s="3" t="n">
        <v>110745.9017899838</v>
      </c>
      <c r="O21" s="3" t="n">
        <v>275240.598390727</v>
      </c>
    </row>
    <row r="22">
      <c r="A22" t="inlineStr">
        <is>
          <t>2026-06-17</t>
        </is>
      </c>
      <c r="B22" s="5" t="n">
        <v>2642631195.520186</v>
      </c>
      <c r="C22" s="5" t="n">
        <v>-7.450580596923828e-09</v>
      </c>
      <c r="D22" s="5" t="n">
        <v>0</v>
      </c>
      <c r="E22" s="5" t="n">
        <v>1565141804.081397</v>
      </c>
      <c r="F22" s="5" t="n">
        <v>0</v>
      </c>
      <c r="G22" s="5" t="n">
        <v>0</v>
      </c>
      <c r="H22" s="5" t="n">
        <v>1077489391.438789</v>
      </c>
      <c r="I22" s="6" t="n">
        <v>0.03600000425292382</v>
      </c>
      <c r="J22" s="6" t="n">
        <v>0.03910800426568259</v>
      </c>
      <c r="K22" t="n">
        <v>5</v>
      </c>
      <c r="L22" s="6" t="n">
        <v>0.0379</v>
      </c>
      <c r="M22" s="6" t="n">
        <v>0.03815166755535054</v>
      </c>
      <c r="N22" s="3" t="n">
        <v>110730.5887198581</v>
      </c>
      <c r="O22" s="3" t="n">
        <v>275240.598390727</v>
      </c>
    </row>
    <row r="23">
      <c r="A23" t="inlineStr">
        <is>
          <t>2026-06-18</t>
        </is>
      </c>
      <c r="B23" s="5" t="n">
        <v>2642631195.520186</v>
      </c>
      <c r="C23" s="5" t="n">
        <v>-7.450580596923828e-09</v>
      </c>
      <c r="D23" s="5" t="n">
        <v>0</v>
      </c>
      <c r="E23" s="5" t="n">
        <v>1565267743.584808</v>
      </c>
      <c r="F23" s="5" t="n">
        <v>0</v>
      </c>
      <c r="G23" s="5" t="n">
        <v>0</v>
      </c>
      <c r="H23" s="5" t="n">
        <v>1077363451.935379</v>
      </c>
      <c r="I23" s="6" t="n">
        <v>0.03600000425292382</v>
      </c>
      <c r="J23" s="6" t="n">
        <v>0.03910800426568259</v>
      </c>
      <c r="K23" t="n">
        <v>5</v>
      </c>
      <c r="L23" s="6" t="n">
        <v>0.0379</v>
      </c>
      <c r="M23" s="6" t="n">
        <v>0.03815166755535054</v>
      </c>
      <c r="N23" s="3" t="n">
        <v>110717.3513832348</v>
      </c>
      <c r="O23" s="3" t="n">
        <v>275240.598390727</v>
      </c>
    </row>
    <row r="24">
      <c r="A24" t="inlineStr">
        <is>
          <t>2026-06-19</t>
        </is>
      </c>
      <c r="B24" s="5" t="n">
        <v>2642631195.520186</v>
      </c>
      <c r="C24" s="5" t="n">
        <v>-7.450580596923828e-09</v>
      </c>
      <c r="D24" s="5" t="n">
        <v>0</v>
      </c>
      <c r="E24" s="5" t="n">
        <v>1565577737.048176</v>
      </c>
      <c r="F24" s="5" t="n">
        <v>0</v>
      </c>
      <c r="G24" s="5" t="n">
        <v>0</v>
      </c>
      <c r="H24" s="5" t="n">
        <v>1077053458.47201</v>
      </c>
      <c r="I24" s="6" t="n">
        <v>0.03600000425292382</v>
      </c>
      <c r="J24" s="6" t="n">
        <v>0.03910800426568259</v>
      </c>
      <c r="K24" t="n">
        <v>5</v>
      </c>
      <c r="L24" s="6" t="n">
        <v>0.0379</v>
      </c>
      <c r="M24" s="6" t="n">
        <v>0.03815166755535054</v>
      </c>
      <c r="N24" s="3" t="n">
        <v>110684.7683754052</v>
      </c>
      <c r="O24" s="3" t="n">
        <v>275240.598390727</v>
      </c>
    </row>
    <row r="25">
      <c r="A25" t="inlineStr">
        <is>
          <t>2026-06-20</t>
        </is>
      </c>
      <c r="B25" s="5" t="n">
        <v>2642631195.520186</v>
      </c>
      <c r="C25" s="5" t="n">
        <v>-7.450580596923828e-09</v>
      </c>
      <c r="D25" s="5" t="n">
        <v>0</v>
      </c>
      <c r="E25" s="5" t="n">
        <v>1565577737.048176</v>
      </c>
      <c r="F25" s="5" t="n">
        <v>0</v>
      </c>
      <c r="G25" s="5" t="n">
        <v>0</v>
      </c>
      <c r="H25" s="5" t="n">
        <v>1077053458.47201</v>
      </c>
      <c r="I25" s="6" t="n">
        <v>0.03600000425292382</v>
      </c>
      <c r="J25" s="6" t="n">
        <v>0.03910800426568259</v>
      </c>
      <c r="K25" t="n">
        <v>5</v>
      </c>
      <c r="L25" s="6" t="n">
        <v>0.0379</v>
      </c>
      <c r="M25" s="6" t="n">
        <v>0.03815166755535054</v>
      </c>
      <c r="N25" s="3" t="n">
        <v>110684.7683754052</v>
      </c>
      <c r="O25" s="3" t="n">
        <v>275240.598390727</v>
      </c>
    </row>
    <row r="26">
      <c r="A26" t="inlineStr">
        <is>
          <t>2026-06-21</t>
        </is>
      </c>
      <c r="B26" s="5" t="n">
        <v>2652631195.520186</v>
      </c>
      <c r="C26" s="5" t="n">
        <v>-7.450580596923828e-09</v>
      </c>
      <c r="D26" s="5" t="n">
        <v>0</v>
      </c>
      <c r="E26" s="5" t="n">
        <v>1565577737.048176</v>
      </c>
      <c r="F26" s="5" t="n">
        <v>0</v>
      </c>
      <c r="G26" s="5" t="n">
        <v>0</v>
      </c>
      <c r="H26" s="5" t="n">
        <v>1087053458.47201</v>
      </c>
      <c r="I26" s="6" t="n">
        <v>0.03600000425292382</v>
      </c>
      <c r="J26" s="6" t="n">
        <v>0.03910800426568259</v>
      </c>
      <c r="K26" t="n">
        <v>5</v>
      </c>
      <c r="L26" s="6" t="n">
        <v>0.0379</v>
      </c>
      <c r="M26" s="6" t="n">
        <v>0.03815166755535054</v>
      </c>
      <c r="N26" s="3" t="n">
        <v>111735.8553072211</v>
      </c>
      <c r="O26" s="3" t="n">
        <v>276291.6853225429</v>
      </c>
    </row>
    <row r="27">
      <c r="A27" t="inlineStr">
        <is>
          <t>2026-06-22</t>
        </is>
      </c>
      <c r="B27" s="5" t="n">
        <v>2651510012.143944</v>
      </c>
      <c r="C27" s="5" t="n">
        <v>-7.450580596923828e-09</v>
      </c>
      <c r="D27" s="5" t="n">
        <v>0</v>
      </c>
      <c r="E27" s="5" t="n">
        <v>1565849722.168176</v>
      </c>
      <c r="F27" s="5" t="n">
        <v>0</v>
      </c>
      <c r="G27" s="5" t="n">
        <v>0</v>
      </c>
      <c r="H27" s="5" t="n">
        <v>1085660289.975768</v>
      </c>
      <c r="I27" s="6" t="n">
        <v>0.03600000425292382</v>
      </c>
      <c r="J27" s="6" t="n">
        <v>0.03910800426568259</v>
      </c>
      <c r="K27" t="n">
        <v>5</v>
      </c>
      <c r="L27" s="6" t="n">
        <v>0.0385</v>
      </c>
      <c r="M27" s="6" t="n">
        <v>0.03862666755535054</v>
      </c>
      <c r="N27" s="3" t="n">
        <v>112842.8088803891</v>
      </c>
      <c r="O27" s="3" t="n">
        <v>277427.2268962389</v>
      </c>
    </row>
    <row r="28">
      <c r="A28" t="inlineStr">
        <is>
          <t>2026-06-23</t>
        </is>
      </c>
      <c r="B28" s="5" t="n">
        <v>2648510012.143944</v>
      </c>
      <c r="C28" s="5" t="n">
        <v>-7.450580596923828e-09</v>
      </c>
      <c r="D28" s="5" t="n">
        <v>0</v>
      </c>
      <c r="E28" s="5" t="n">
        <v>1565979783.49788</v>
      </c>
      <c r="F28" s="5" t="n">
        <v>0</v>
      </c>
      <c r="G28" s="5" t="n">
        <v>0</v>
      </c>
      <c r="H28" s="5" t="n">
        <v>1082530228.646064</v>
      </c>
      <c r="I28" s="6" t="n">
        <v>0.03600000425292382</v>
      </c>
      <c r="J28" s="6" t="n">
        <v>0.03910800426568259</v>
      </c>
      <c r="K28" t="n">
        <v>5</v>
      </c>
      <c r="L28" s="6" t="n">
        <v>0.0385</v>
      </c>
      <c r="M28" s="6" t="n">
        <v>0.03862666755535054</v>
      </c>
      <c r="N28" s="3" t="n">
        <v>112513.8122244457</v>
      </c>
      <c r="O28" s="3" t="n">
        <v>277111.9008166941</v>
      </c>
    </row>
    <row r="29">
      <c r="A29" t="inlineStr">
        <is>
          <t>2026-06-24</t>
        </is>
      </c>
      <c r="B29" s="5" t="n">
        <v>2647260305.514142</v>
      </c>
      <c r="C29" s="5" t="n">
        <v>-7.450580596923828e-09</v>
      </c>
      <c r="D29" s="5" t="n">
        <v>0</v>
      </c>
      <c r="E29" s="5" t="n">
        <v>1566135716.691685</v>
      </c>
      <c r="F29" s="5" t="n">
        <v>0</v>
      </c>
      <c r="G29" s="5" t="n">
        <v>0</v>
      </c>
      <c r="H29" s="5" t="n">
        <v>1081124588.822457</v>
      </c>
      <c r="I29" s="6" t="n">
        <v>0.03600000425292382</v>
      </c>
      <c r="J29" s="6" t="n">
        <v>0.03910800426568259</v>
      </c>
      <c r="K29" t="n">
        <v>5</v>
      </c>
      <c r="L29" s="6" t="n">
        <v>0.0385</v>
      </c>
      <c r="M29" s="6" t="n">
        <v>0.03862666755535054</v>
      </c>
      <c r="N29" s="3" t="n">
        <v>112366.0672595024</v>
      </c>
      <c r="O29" s="3" t="n">
        <v>276980.5457859753</v>
      </c>
    </row>
    <row r="30">
      <c r="A30" t="inlineStr">
        <is>
          <t>2026-06-25</t>
        </is>
      </c>
      <c r="B30" s="5" t="n">
        <v>2647260545.03573</v>
      </c>
      <c r="C30" s="5" t="n">
        <v>-7.450580596923828e-09</v>
      </c>
      <c r="D30" s="5" t="n">
        <v>0</v>
      </c>
      <c r="E30" s="5" t="n">
        <v>1566275854.877671</v>
      </c>
      <c r="F30" s="5" t="n">
        <v>0</v>
      </c>
      <c r="G30" s="5" t="n">
        <v>0</v>
      </c>
      <c r="H30" s="5" t="n">
        <v>1080984690.158059</v>
      </c>
      <c r="I30" s="6" t="n">
        <v>0.03600000425292382</v>
      </c>
      <c r="J30" s="6" t="n">
        <v>0.03910800426568259</v>
      </c>
      <c r="K30" t="n">
        <v>5</v>
      </c>
      <c r="L30" s="6" t="n">
        <v>0.0385</v>
      </c>
      <c r="M30" s="6" t="n">
        <v>0.03862666755535054</v>
      </c>
      <c r="N30" s="3" t="n">
        <v>112351.3626937096</v>
      </c>
      <c r="O30" s="3" t="n">
        <v>276980.5709617764</v>
      </c>
    </row>
    <row r="31">
      <c r="A31" t="inlineStr">
        <is>
          <t>2026-06-26</t>
        </is>
      </c>
      <c r="B31" s="5" t="n">
        <v>2643470692.382723</v>
      </c>
      <c r="C31" s="5" t="n">
        <v>-7.450580596923828e-09</v>
      </c>
      <c r="D31" s="5" t="n">
        <v>0</v>
      </c>
      <c r="E31" s="5" t="n">
        <v>1566424694.720978</v>
      </c>
      <c r="F31" s="5" t="n">
        <v>0</v>
      </c>
      <c r="G31" s="5" t="n">
        <v>0</v>
      </c>
      <c r="H31" s="5" t="n">
        <v>1077045997.661745</v>
      </c>
      <c r="I31" s="6" t="n">
        <v>0.03600000425292382</v>
      </c>
      <c r="J31" s="6" t="n">
        <v>0.03910800426568259</v>
      </c>
      <c r="K31" t="n">
        <v>5</v>
      </c>
      <c r="L31" s="6" t="n">
        <v>0.0385</v>
      </c>
      <c r="M31" s="6" t="n">
        <v>0.03862666755535054</v>
      </c>
      <c r="N31" s="3" t="n">
        <v>111937.371872578</v>
      </c>
      <c r="O31" s="3" t="n">
        <v>276582.224502068</v>
      </c>
    </row>
    <row r="32">
      <c r="A32" t="inlineStr">
        <is>
          <t>2026-06-27</t>
        </is>
      </c>
      <c r="B32" s="5" t="n">
        <v>2643470692.382723</v>
      </c>
      <c r="C32" s="5" t="n">
        <v>-7.450580596923828e-09</v>
      </c>
      <c r="D32" s="5" t="n">
        <v>0</v>
      </c>
      <c r="E32" s="5" t="n">
        <v>1566424694.720978</v>
      </c>
      <c r="F32" s="5" t="n">
        <v>0</v>
      </c>
      <c r="G32" s="5" t="n">
        <v>0</v>
      </c>
      <c r="H32" s="5" t="n">
        <v>1077045997.661745</v>
      </c>
      <c r="I32" s="6" t="n">
        <v>0.03600000425292382</v>
      </c>
      <c r="J32" s="6" t="n">
        <v>0.03910800426568259</v>
      </c>
      <c r="K32" t="n">
        <v>5</v>
      </c>
      <c r="L32" s="6" t="n">
        <v>0.0385</v>
      </c>
      <c r="M32" s="6" t="n">
        <v>0.03862666755535054</v>
      </c>
      <c r="N32" s="3" t="n">
        <v>111937.371872578</v>
      </c>
      <c r="O32" s="3" t="n">
        <v>276582.224502068</v>
      </c>
    </row>
    <row r="33">
      <c r="A33" t="inlineStr">
        <is>
          <t>2026-06-28</t>
        </is>
      </c>
      <c r="B33" s="5" t="n">
        <v>2643470692.382723</v>
      </c>
      <c r="C33" s="5" t="n">
        <v>-7.450580596923828e-09</v>
      </c>
      <c r="D33" s="5" t="n">
        <v>0</v>
      </c>
      <c r="E33" s="5" t="n">
        <v>1566424694.720978</v>
      </c>
      <c r="F33" s="5" t="n">
        <v>0</v>
      </c>
      <c r="G33" s="5" t="n">
        <v>0</v>
      </c>
      <c r="H33" s="5" t="n">
        <v>1077045997.661745</v>
      </c>
      <c r="I33" s="6" t="n">
        <v>0.03600000425292382</v>
      </c>
      <c r="J33" s="6" t="n">
        <v>0.03910800426568259</v>
      </c>
      <c r="K33" t="n">
        <v>5</v>
      </c>
      <c r="L33" s="6" t="n">
        <v>0.0385</v>
      </c>
      <c r="M33" s="6" t="n">
        <v>0.03862666755535054</v>
      </c>
      <c r="N33" s="3" t="n">
        <v>111937.371872578</v>
      </c>
      <c r="O33" s="3" t="n">
        <v>276582.224502068</v>
      </c>
    </row>
    <row r="34">
      <c r="A34" t="inlineStr">
        <is>
          <t>2026-06-29</t>
        </is>
      </c>
      <c r="B34" s="5" t="n">
        <v>2644019088.670427</v>
      </c>
      <c r="C34" s="5" t="n">
        <v>-7.450580596923828e-09</v>
      </c>
      <c r="D34" s="5" t="n">
        <v>0</v>
      </c>
      <c r="E34" s="5" t="n">
        <v>1566875407.518834</v>
      </c>
      <c r="F34" s="5" t="n">
        <v>0</v>
      </c>
      <c r="G34" s="5" t="n">
        <v>0</v>
      </c>
      <c r="H34" s="5" t="n">
        <v>1077143681.151593</v>
      </c>
      <c r="I34" s="6" t="n">
        <v>0.03600000425292382</v>
      </c>
      <c r="J34" s="6" t="n">
        <v>0.03910800426568259</v>
      </c>
      <c r="K34" t="n">
        <v>5</v>
      </c>
      <c r="L34" s="6" t="n">
        <v>0.0387</v>
      </c>
      <c r="M34" s="6" t="n">
        <v>0.03878500088868388</v>
      </c>
      <c r="N34" s="3" t="n">
        <v>112365.3081246992</v>
      </c>
      <c r="O34" s="3" t="n">
        <v>277057.5345873721</v>
      </c>
    </row>
    <row r="35">
      <c r="A35" t="inlineStr">
        <is>
          <t>2026-06-30</t>
        </is>
      </c>
      <c r="B35" s="5" t="n">
        <v>2644019088.670427</v>
      </c>
      <c r="C35" s="5" t="n">
        <v>-7.450580596923828e-09</v>
      </c>
      <c r="D35" s="5" t="n">
        <v>0</v>
      </c>
      <c r="E35" s="5" t="n">
        <v>1566996708.812846</v>
      </c>
      <c r="F35" s="5" t="n">
        <v>0</v>
      </c>
      <c r="G35" s="5" t="n">
        <v>0</v>
      </c>
      <c r="H35" s="5" t="n">
        <v>1077022379.857581</v>
      </c>
      <c r="I35" s="6" t="n">
        <v>0.03600000425292382</v>
      </c>
      <c r="J35" s="6" t="n">
        <v>0.03910800426568259</v>
      </c>
      <c r="K35" t="n">
        <v>5</v>
      </c>
      <c r="L35" s="6" t="n">
        <v>0.0387</v>
      </c>
      <c r="M35" s="6" t="n">
        <v>0.03878500088868388</v>
      </c>
      <c r="N35" s="3" t="n">
        <v>112352.5583042043</v>
      </c>
      <c r="O35" s="3" t="n">
        <v>277057.5345873721</v>
      </c>
    </row>
    <row r="37">
      <c r="A37" s="7" t="inlineStr">
        <is>
          <t>Σ daily charges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s="10" t="n">
        <v>3291039.781244973</v>
      </c>
      <c r="O37" s="10" t="n">
        <v>8225450.871941987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2" customWidth="1" min="3" max="3"/>
    <col width="46" customWidth="1" min="4" max="4"/>
    <col width="20" customWidth="1" min="5" max="5"/>
    <col width="18" customWidth="1" min="6" max="6"/>
    <col width="18" customWidth="1" min="7" max="7"/>
    <col width="16" customWidth="1" min="8" max="8"/>
    <col width="22" customWidth="1" min="9" max="9"/>
  </cols>
  <sheetData>
    <row r="1">
      <c r="A1" s="1" t="inlineStr">
        <is>
          <t>Off-protocol holdings (tracked, not in prime revenue)</t>
        </is>
      </c>
    </row>
    <row r="3">
      <c r="A3" t="inlineStr">
        <is>
          <t>These positions sit with external counterparties (e.g. OOB OTC venues, off-protocol custodians). The balances below are visible for monthly-NAV reporting only — they do NOT contribute to prime_agent_revenue or sky_revenue. Any realized gain or loss on the round-trip is booked at the anchor venue when the cash settles back at the ALM proxy.</t>
        </is>
      </c>
    </row>
    <row r="5">
      <c r="A5" s="2" t="inlineStr">
        <is>
          <t>Venue</t>
        </is>
      </c>
      <c r="B5" s="2" t="inlineStr">
        <is>
          <t>Label</t>
        </is>
      </c>
      <c r="C5" s="2" t="inlineStr">
        <is>
          <t>Chain</t>
        </is>
      </c>
      <c r="D5" s="2" t="inlineStr">
        <is>
          <t>Counterparty (paired_source)</t>
        </is>
      </c>
      <c r="E5" s="2" t="inlineStr">
        <is>
          <t>Anchor venue (paired_with)</t>
        </is>
      </c>
      <c r="F5" s="2" t="inlineStr">
        <is>
          <t>Outstanding SoM (USD)</t>
        </is>
      </c>
      <c r="G5" s="2" t="inlineStr">
        <is>
          <t>Outstanding EoM (USD)</t>
        </is>
      </c>
      <c r="H5" s="2" t="inlineStr">
        <is>
          <t>Δ over period</t>
        </is>
      </c>
      <c r="I5" s="2" t="inlineStr">
        <is>
          <t>Status</t>
        </is>
      </c>
    </row>
    <row r="6">
      <c r="A6" t="inlineStr">
        <is>
          <t>E33</t>
        </is>
      </c>
      <c r="B6" t="inlineStr">
        <is>
          <t>Uniswap V3 AUSD/USDC pool (Monad, NFT positions)</t>
        </is>
      </c>
      <c r="C6" t="inlineStr">
        <is>
          <t>monad</t>
        </is>
      </c>
      <c r="D6" t="inlineStr"/>
      <c r="E6" t="inlineStr"/>
      <c r="F6" s="5" t="n">
        <v>0</v>
      </c>
      <c r="G6" s="5" t="n">
        <v>0</v>
      </c>
      <c r="H6" s="5" t="n">
        <v>0</v>
      </c>
      <c r="I6" t="inlineStr">
        <is>
          <t>—</t>
        </is>
      </c>
    </row>
    <row r="7">
      <c r="A7" t="inlineStr">
        <is>
          <t>E14</t>
        </is>
      </c>
      <c r="B7" t="inlineStr">
        <is>
          <t>AUSD raw (ALM idle)</t>
        </is>
      </c>
      <c r="C7" t="inlineStr">
        <is>
          <t>ethereum</t>
        </is>
      </c>
      <c r="D7" t="inlineStr"/>
      <c r="E7" t="inlineStr"/>
      <c r="F7" s="5" t="n">
        <v>3398082.921803</v>
      </c>
      <c r="G7" s="5" t="n">
        <v>0</v>
      </c>
      <c r="H7" s="5" t="n">
        <v>-3398082.921803</v>
      </c>
      <c r="I7" t="inlineStr">
        <is>
          <t>fully returned</t>
        </is>
      </c>
    </row>
    <row r="8">
      <c r="A8" t="inlineStr">
        <is>
          <t>E36</t>
        </is>
      </c>
      <c r="B8" t="inlineStr">
        <is>
          <t>OOB principal via 0xd94f (relay to Monad ALM EOA → AUSD acquisition)</t>
        </is>
      </c>
      <c r="C8" t="inlineStr">
        <is>
          <t>ethereum</t>
        </is>
      </c>
      <c r="D8" t="inlineStr">
        <is>
          <t>0x94b398acb2fce988871218221ea6a4a2b26cccbc</t>
        </is>
      </c>
      <c r="E8" t="inlineStr">
        <is>
          <t>E14</t>
        </is>
      </c>
      <c r="F8" s="5" t="n">
        <v>50001000</v>
      </c>
      <c r="G8" s="5" t="n">
        <v>50001000</v>
      </c>
      <c r="H8" s="5" t="n">
        <v>0</v>
      </c>
      <c r="I8" t="inlineStr">
        <is>
          <t>outstanding (no change)</t>
        </is>
      </c>
    </row>
    <row r="9">
      <c r="A9" t="inlineStr">
        <is>
          <t>E25</t>
        </is>
      </c>
      <c r="B9" t="inlineStr">
        <is>
          <t>Grove x Steakhouse High Yield AUSD (Monad, Morpho 4626)</t>
        </is>
      </c>
      <c r="C9" t="inlineStr">
        <is>
          <t>monad</t>
        </is>
      </c>
      <c r="D9" t="inlineStr"/>
      <c r="E9" t="inlineStr"/>
      <c r="F9" s="5" t="n">
        <v>0</v>
      </c>
      <c r="G9" s="5" t="n">
        <v>0</v>
      </c>
      <c r="H9" s="5" t="n">
        <v>0</v>
      </c>
      <c r="I9" t="inlineStr">
        <is>
          <t>—</t>
        </is>
      </c>
    </row>
    <row r="10">
      <c r="A10" t="inlineStr">
        <is>
          <t>E34</t>
        </is>
      </c>
      <c r="B10" t="inlineStr">
        <is>
          <t>AUSD raw (Monad, alt holder idle)</t>
        </is>
      </c>
      <c r="C10" t="inlineStr">
        <is>
          <t>monad</t>
        </is>
      </c>
      <c r="D10" t="inlineStr"/>
      <c r="E10" t="inlineStr"/>
      <c r="F10" s="5" t="n">
        <v>0</v>
      </c>
      <c r="G10" s="5" t="n">
        <v>0</v>
      </c>
      <c r="H10" s="5" t="n">
        <v>0</v>
      </c>
      <c r="I10" t="inlineStr">
        <is>
          <t>—</t>
        </is>
      </c>
    </row>
    <row r="11">
      <c r="A11" t="inlineStr">
        <is>
          <t>E35</t>
        </is>
      </c>
      <c r="B11" t="inlineStr">
        <is>
          <t>USDC raw (Monad, alt holder idle)</t>
        </is>
      </c>
      <c r="C11" t="inlineStr">
        <is>
          <t>monad</t>
        </is>
      </c>
      <c r="D11" t="inlineStr"/>
      <c r="E11" t="inlineStr"/>
      <c r="F11" s="5" t="n">
        <v>207788.12728</v>
      </c>
      <c r="G11" s="5" t="n">
        <v>207788.12728</v>
      </c>
      <c r="H11" s="5" t="n">
        <v>0</v>
      </c>
      <c r="I11" t="inlineStr">
        <is>
          <t>outstanding (no change)</t>
        </is>
      </c>
    </row>
    <row r="13">
      <c r="A13" t="inlineStr">
        <is>
          <t>Note: realized gain on returns (the round-trip spread) is recognized as revenue at the anchor venue via the paired-principal-cap classifier — see provenance.json venue_breakdown for the anchor's actual_revenue / external_revenue split.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2026-07-08T18:39:48Z</dcterms:created>
  <dcterms:modified xmlns:dcterms="http://purl.org/dc/terms/" xmlns:xsi="http://www.w3.org/2001/XMLSchema-instance" xsi:type="dcterms:W3CDTF">2026-07-08T18:39:48Z</dcterms:modified>
</cp:coreProperties>
</file>