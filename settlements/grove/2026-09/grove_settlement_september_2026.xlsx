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ose status" sheetId="1" state="visible" r:id="rId1"/>
    <sheet name="Summary" sheetId="2" state="visible" r:id="rId2"/>
    <sheet name="Venues" sheetId="3" state="visible" r:id="rId3"/>
    <sheet name="Sky Revenue" sheetId="4" state="visible" r:id="rId4"/>
    <sheet name="Sky Direct" sheetId="5" state="visible" r:id="rId5"/>
    <sheet name="Debt" sheetId="6" state="visible" r:id="rId6"/>
    <sheet name="Off-protocol hold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;&quot;−$&quot;#,##0.00;&quot;$&quot;0.00"/>
    <numFmt numFmtId="165" formatCode="&quot;$&quot;#,##0;&quot;−$&quot;#,##0;&quot;$&quot;0"/>
    <numFmt numFmtId="166" formatCode="0.000%"/>
    <numFmt numFmtId="167" formatCode="0.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top style="thin">
        <color rgb="00C5C9CC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0" borderId="1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2" customWidth="1" min="1" max="1"/>
    <col width="115" customWidth="1" min="2" max="2"/>
  </cols>
  <sheetData>
    <row r="1">
      <c r="A1" s="13" t="inlineStr">
        <is>
          <t>September 2026 close</t>
        </is>
      </c>
      <c r="B1" s="13" t="inlineStr">
        <is>
          <t>Official reference-rate coverage complete</t>
        </is>
      </c>
    </row>
    <row r="2">
      <c r="A2" s="14" t="inlineStr">
        <is>
          <t>calculation</t>
        </is>
      </c>
      <c r="B2" s="14" t="inlineStr">
        <is>
          <t>Independent full monthly pipeline, compared field-by-field with September 30 API result</t>
        </is>
      </c>
    </row>
    <row r="3">
      <c r="A3" s="14" t="inlineStr">
        <is>
          <t>calculation_code_version</t>
        </is>
      </c>
      <c r="B3" s="14" t="inlineStr">
        <is>
          <t>c32f25a7ef410eaaf9212b8f546f652c715dc7ac</t>
        </is>
      </c>
    </row>
    <row r="4">
      <c r="A4" s="14" t="inlineStr">
        <is>
          <t>daily_revision</t>
        </is>
      </c>
      <c r="B4" s="14" t="inlineStr">
        <is>
          <t>11c4df339ebe710cccc6890a674ec4bdb35df3248ec76944050fe24fef4363cd</t>
        </is>
      </c>
    </row>
    <row r="5">
      <c r="A5" s="14" t="inlineStr">
        <is>
          <t>monthly_result_sha256</t>
        </is>
      </c>
      <c r="B5" s="14" t="inlineStr">
        <is>
          <t>b65cbc633943ce542f7817074640dc81c3a138e0ad9301767dd12f7bc618afc6</t>
        </is>
      </c>
    </row>
    <row r="6">
      <c r="A6" s="14" t="inlineStr">
        <is>
          <t>daily_result_sha256</t>
        </is>
      </c>
      <c r="B6" s="14" t="inlineStr">
        <is>
          <t>b65cbc633943ce542f7817074640dc81c3a138e0ad9301767dd12f7bc618afc6</t>
        </is>
      </c>
    </row>
    <row r="7">
      <c r="A7" s="14" t="inlineStr">
        <is>
          <t>comparison</t>
        </is>
      </c>
      <c r="B7" s="14" t="inlineStr">
        <is>
          <t>all result fields match</t>
        </is>
      </c>
    </row>
    <row r="8">
      <c r="A8" s="14" t="inlineStr">
        <is>
          <t>distribution_rewards_workbook_sha256</t>
        </is>
      </c>
      <c r="B8" s="14" t="inlineStr">
        <is>
          <t>17eee2ca39bd63e68e6d87097ede0007d8741e41cb9a7fceb017da713103b02e</t>
        </is>
      </c>
    </row>
    <row r="9">
      <c r="A9" s="14" t="inlineStr">
        <is>
          <t>distribution_rewards_code</t>
        </is>
      </c>
      <c r="B9" s="14" t="inlineStr">
        <is>
          <t>1e9ecb2 (merged settle-dr-dune PR #27; finalized September snapshot)</t>
        </is>
      </c>
    </row>
    <row r="10">
      <c r="A10" s="14" t="inlineStr">
        <is>
          <t>reference_rate_status</t>
        </is>
      </c>
      <c r="B10" s="14" t="inlineStr">
        <is>
          <t>official coverage 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GROVE — Monthly settlement 2026-09</t>
        </is>
      </c>
    </row>
    <row r="3">
      <c r="A3" s="2" t="inlineStr">
        <is>
          <t>Prime side</t>
        </is>
      </c>
      <c r="B3" s="2" t="inlineStr">
        <is>
          <t>USD</t>
        </is>
      </c>
    </row>
    <row r="4">
      <c r="A4" t="inlineStr">
        <is>
          <t>prime_agent_revenue (gross venue yield to prime)</t>
        </is>
      </c>
      <c r="B4" s="3" t="n">
        <v>4796207.622639623</v>
      </c>
    </row>
    <row r="5">
      <c r="A5" t="inlineStr">
        <is>
          <t>+ agent_rate (subproxy USDS / sUSDS yield)</t>
        </is>
      </c>
      <c r="B5" s="3" t="n">
        <v>80009.02046076373</v>
      </c>
    </row>
    <row r="6">
      <c r="A6" t="inlineStr">
        <is>
          <t>+ distribution_rewards (settle-dr-dune)</t>
        </is>
      </c>
      <c r="B6" s="3" t="n">
        <v>16041.07924442457</v>
      </c>
    </row>
    <row r="7">
      <c r="A7" t="inlineStr">
        <is>
          <t>+ chronicle_points (20% of base rate on Chronicle Farm USDS)</t>
        </is>
      </c>
      <c r="B7" s="3" t="n">
        <v>10959.4345925271</v>
      </c>
    </row>
    <row r="8">
      <c r="B8" s="4" t="n">
        <v>4903217.156937339</v>
      </c>
    </row>
    <row r="10">
      <c r="A10" s="2" t="inlineStr">
        <is>
          <t>Sky side</t>
        </is>
      </c>
      <c r="B10" s="2" t="inlineStr">
        <is>
          <t>USD</t>
        </is>
      </c>
    </row>
    <row r="11">
      <c r="A11" t="inlineStr">
        <is>
          <t>CoF on utilized (BR × Net_Subs)</t>
        </is>
      </c>
      <c r="B11" s="3" t="n">
        <v>3754292.984290455</v>
      </c>
    </row>
    <row r="12">
      <c r="A12" t="inlineStr">
        <is>
          <t>+ SDE revenue (Sky-Direct, full to Sky)</t>
        </is>
      </c>
      <c r="B12" s="3" t="n">
        <v>2507467.934719144</v>
      </c>
    </row>
    <row r="13">
      <c r="B13" s="4" t="n">
        <v>6261760.919009599</v>
      </c>
    </row>
    <row r="15">
      <c r="A15" s="2" t="inlineStr">
        <is>
          <t>Sky Revenue (max) — BR × full ilk debt, no deductions</t>
        </is>
      </c>
      <c r="B15" s="2" t="inlineStr">
        <is>
          <t>USD</t>
        </is>
      </c>
    </row>
    <row r="16">
      <c r="A16" t="inlineStr">
        <is>
          <t>CoF on Net_Subs (actual BR × utilized)</t>
        </is>
      </c>
      <c r="B16" s="3" t="n">
        <v>3754292.984290455</v>
      </c>
    </row>
    <row r="17">
      <c r="A17" t="inlineStr">
        <is>
          <t>reduction from idle/SDE deductions</t>
        </is>
      </c>
      <c r="B17" s="3" t="n">
        <v>-2825885.752437733</v>
      </c>
    </row>
    <row r="18">
      <c r="B18" s="4" t="n">
        <v>6580178.736728188</v>
      </c>
    </row>
    <row r="20">
      <c r="A20" s="2" t="inlineStr">
        <is>
          <t>Comparison (Grove-style "Profit to Grove")</t>
        </is>
      </c>
      <c r="B20" s="2" t="inlineStr">
        <is>
          <t>USD</t>
        </is>
      </c>
    </row>
    <row r="21">
      <c r="A21" t="inlineStr">
        <is>
          <t>prime_agent_revenue</t>
        </is>
      </c>
      <c r="B21" s="3" t="n">
        <v>4796207.622639623</v>
      </c>
    </row>
    <row r="22">
      <c r="A22" t="inlineStr">
        <is>
          <t>− CoF (deducted per-venue in display)</t>
        </is>
      </c>
      <c r="B22" s="3" t="n">
        <v>-3754292.984290455</v>
      </c>
    </row>
    <row r="23">
      <c r="B23" s="4" t="n">
        <v>1041914.638349169</v>
      </c>
    </row>
    <row r="25">
      <c r="A25" t="inlineStr">
        <is>
          <t>Period</t>
        </is>
      </c>
      <c r="B25" t="inlineStr">
        <is>
          <t>2026-09-01 → 2026-09-30 (30 days)</t>
        </is>
      </c>
    </row>
    <row r="26">
      <c r="A26" t="inlineStr">
        <is>
          <t>Pin blocks</t>
        </is>
      </c>
      <c r="B26" t="inlineStr">
        <is>
          <t>avalanche_c=96488899, base=52011726, ethereum=26093737, monad=109459390, plume=96561570</t>
        </is>
      </c>
    </row>
    <row r="27">
      <c r="A27" t="inlineStr">
        <is>
          <t>Generated</t>
        </is>
      </c>
      <c r="B27" t="inlineStr">
        <is>
          <t>2026-10-01T15:36:05+00:00</t>
        </is>
      </c>
    </row>
    <row r="28">
      <c r="A28" t="inlineStr">
        <is>
          <t>Pipeline</t>
        </is>
      </c>
      <c r="B28" t="inlineStr">
        <is>
          <t>0.1.0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3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9" customWidth="1" min="13" max="13"/>
    <col width="14" customWidth="1" min="14" max="14"/>
    <col width="16" customWidth="1" min="15" max="15"/>
    <col width="16" customWidth="1" min="16" max="16"/>
    <col width="22" customWidth="1" min="17" max="17"/>
    <col width="14" customWidth="1" min="18" max="18"/>
    <col width="30" customWidth="1" min="19" max="19"/>
  </cols>
  <sheetData>
    <row r="1">
      <c r="A1" s="2" t="inlineStr">
        <is>
          <t>Venue</t>
        </is>
      </c>
      <c r="B1" s="2" t="inlineStr">
        <is>
          <t>Label</t>
        </is>
      </c>
      <c r="C1" s="2" t="inlineStr">
        <is>
          <t>Chain</t>
        </is>
      </c>
      <c r="D1" s="2" t="inlineStr">
        <is>
          <t>Pricing cat.</t>
        </is>
      </c>
      <c r="E1" s="2" t="inlineStr">
        <is>
          <t>Position SoM</t>
        </is>
      </c>
      <c r="F1" s="2" t="inlineStr">
        <is>
          <t>Position EoM</t>
        </is>
      </c>
      <c r="G1" s="2" t="inlineStr">
        <is>
          <t>Period inflow</t>
        </is>
      </c>
      <c r="H1" s="2" t="inlineStr">
        <is>
          <t>actual_revenue</t>
        </is>
      </c>
      <c r="I1" s="2" t="inlineStr">
        <is>
          <t>external_revenue</t>
        </is>
      </c>
      <c r="J1" s="2" t="inlineStr">
        <is>
          <t>revenue (to prime)</t>
        </is>
      </c>
      <c r="K1" s="2" t="inlineStr">
        <is>
          <t>sd_revenue (to Sky)</t>
        </is>
      </c>
      <c r="L1" s="2" t="inlineStr">
        <is>
          <t>Avg value</t>
        </is>
      </c>
      <c r="M1" s="2" t="inlineStr">
        <is>
          <t>Weight</t>
        </is>
      </c>
      <c r="N1" s="2" t="inlineStr">
        <is>
          <t>CoF alloc</t>
        </is>
      </c>
      <c r="O1" s="2" t="inlineStr">
        <is>
          <t>Profit to Sky</t>
        </is>
      </c>
      <c r="P1" s="2" t="inlineStr">
        <is>
          <t>Profit to Grove</t>
        </is>
      </c>
      <c r="Q1" s="2" t="inlineStr">
        <is>
          <t>Utilized Deduction (avg)</t>
        </is>
      </c>
      <c r="R1" s="2" t="inlineStr">
        <is>
          <t>Spread Reimb</t>
        </is>
      </c>
      <c r="S1" s="2" t="inlineStr">
        <is>
          <t>Notes</t>
        </is>
      </c>
    </row>
    <row r="2">
      <c r="A2" t="inlineStr">
        <is>
          <t>E9</t>
        </is>
      </c>
      <c r="B2" t="inlineStr">
        <is>
          <t>Janus Henderson Anemoy Treasury Fund (JTRSY)</t>
        </is>
      </c>
      <c r="C2" t="inlineStr">
        <is>
          <t>ethereum</t>
        </is>
      </c>
      <c r="D2" t="inlineStr">
        <is>
          <t>E</t>
        </is>
      </c>
      <c r="E2" s="5" t="n">
        <v>858067027.28264</v>
      </c>
      <c r="F2" s="5" t="n">
        <v>309460827.1912791</v>
      </c>
      <c r="G2" s="5" t="n">
        <v>-548606200.0913608</v>
      </c>
      <c r="H2" s="5" t="n">
        <v>1441984.354719144</v>
      </c>
      <c r="I2" s="5" t="n">
        <v>0</v>
      </c>
      <c r="J2" s="5" t="n">
        <v>0</v>
      </c>
      <c r="K2" s="5" t="n">
        <v>1441984.354719144</v>
      </c>
      <c r="L2" s="5" t="n">
        <v>550561642.0838147</v>
      </c>
      <c r="M2" s="6" t="n">
        <v>0</v>
      </c>
      <c r="N2" s="5" t="n">
        <v>0</v>
      </c>
      <c r="O2" s="5" t="n">
        <v>1441984.354719144</v>
      </c>
      <c r="P2" s="5" t="n">
        <v>0</v>
      </c>
      <c r="Q2" s="5" t="n">
        <v>550561642.0838147</v>
      </c>
      <c r="R2" s="5" t="n">
        <v>0</v>
      </c>
      <c r="S2" t="inlineStr">
        <is>
          <t>SDE (fixed)</t>
        </is>
      </c>
    </row>
    <row r="3">
      <c r="A3" t="inlineStr">
        <is>
          <t>E10</t>
        </is>
      </c>
      <c r="B3" t="inlineStr">
        <is>
          <t>BlackRock USD Institutional Digital Liquidity Fund (BUIDL-I)</t>
        </is>
      </c>
      <c r="C3" t="inlineStr">
        <is>
          <t>ethereum</t>
        </is>
      </c>
      <c r="D3" t="inlineStr">
        <is>
          <t>E</t>
        </is>
      </c>
      <c r="E3" s="5" t="n">
        <v>643254421.77</v>
      </c>
      <c r="F3" s="5" t="n">
        <v>119322905.35</v>
      </c>
      <c r="G3" s="5" t="n">
        <v>-523931516.42</v>
      </c>
      <c r="H3" s="5" t="n">
        <v>1065483.58</v>
      </c>
      <c r="I3" s="5" t="n">
        <v>0</v>
      </c>
      <c r="J3" s="5" t="n">
        <v>0</v>
      </c>
      <c r="K3" s="5" t="n">
        <v>1065483.58</v>
      </c>
      <c r="L3" s="5" t="n">
        <v>335756055.1033334</v>
      </c>
      <c r="M3" s="6" t="n">
        <v>0</v>
      </c>
      <c r="N3" s="5" t="n">
        <v>0</v>
      </c>
      <c r="O3" s="5" t="n">
        <v>1065483.58</v>
      </c>
      <c r="P3" s="5" t="n">
        <v>0</v>
      </c>
      <c r="Q3" s="5" t="n">
        <v>335756055.1033334</v>
      </c>
      <c r="R3" s="5" t="n">
        <v>0</v>
      </c>
      <c r="S3" t="inlineStr">
        <is>
          <t>SDE (fixed)</t>
        </is>
      </c>
    </row>
    <row r="4">
      <c r="A4" t="inlineStr">
        <is>
          <t>E42</t>
        </is>
      </c>
      <c r="B4" t="inlineStr">
        <is>
          <t>Galaxy Warehouse (off-chain facility — cash distribution to Grove Eth ALM)</t>
        </is>
      </c>
      <c r="C4" t="inlineStr">
        <is>
          <t>ethereum</t>
        </is>
      </c>
      <c r="D4" t="inlineStr">
        <is>
          <t>A</t>
        </is>
      </c>
      <c r="E4" s="5" t="n">
        <v>0</v>
      </c>
      <c r="F4" s="5" t="n">
        <v>0</v>
      </c>
      <c r="G4" s="5" t="n">
        <v>0</v>
      </c>
      <c r="H4" s="5" t="n">
        <v>1658948.54</v>
      </c>
      <c r="I4" s="5" t="n">
        <v>0</v>
      </c>
      <c r="J4" s="5" t="n">
        <v>1658948.54</v>
      </c>
      <c r="K4" s="5" t="n">
        <v>0</v>
      </c>
      <c r="L4" s="5" t="n">
        <v>304000001</v>
      </c>
      <c r="M4" s="6" t="n">
        <v>1</v>
      </c>
      <c r="N4" s="5" t="n">
        <v>957159.948608762</v>
      </c>
      <c r="O4" s="5" t="n">
        <v>957159.948608762</v>
      </c>
      <c r="P4" s="5" t="n">
        <v>701788.591391238</v>
      </c>
      <c r="Q4" s="5" t="n">
        <v>0</v>
      </c>
      <c r="R4" s="5" t="n">
        <v>0</v>
      </c>
      <c r="S4" t="inlineStr">
        <is>
          <t>(off-chain notional)</t>
        </is>
      </c>
    </row>
    <row r="5">
      <c r="A5" t="inlineStr">
        <is>
          <t>E20</t>
        </is>
      </c>
      <c r="B5" t="inlineStr">
        <is>
          <t>Janus Henderson Anemoy AAA CLO (JAAA-avalanche)</t>
        </is>
      </c>
      <c r="C5" t="inlineStr">
        <is>
          <t>avalanche_c</t>
        </is>
      </c>
      <c r="D5" t="inlineStr">
        <is>
          <t>E</t>
        </is>
      </c>
      <c r="E5" s="5" t="n">
        <v>261874260.001064</v>
      </c>
      <c r="F5" s="5" t="n">
        <v>262568675.088451</v>
      </c>
      <c r="G5" s="5" t="n">
        <v>694415.0873870148</v>
      </c>
      <c r="H5" s="5" t="n">
        <v>694415.0873870148</v>
      </c>
      <c r="I5" s="5" t="n">
        <v>0</v>
      </c>
      <c r="J5" s="5" t="n">
        <v>694415.0873870148</v>
      </c>
      <c r="K5" s="5" t="n">
        <v>0</v>
      </c>
      <c r="L5" s="5" t="n">
        <v>261874260.001064</v>
      </c>
      <c r="M5" s="6" t="n">
        <v>1</v>
      </c>
      <c r="N5" s="5" t="n">
        <v>824524.8434870105</v>
      </c>
      <c r="O5" s="5" t="n">
        <v>824524.8434870105</v>
      </c>
      <c r="P5" s="5" t="n">
        <v>-130109.7560999957</v>
      </c>
      <c r="Q5" s="5" t="n">
        <v>0</v>
      </c>
      <c r="R5" s="5" t="n">
        <v>0</v>
      </c>
    </row>
    <row r="6">
      <c r="A6" t="inlineStr">
        <is>
          <t>E23</t>
        </is>
      </c>
      <c r="B6" t="inlineStr">
        <is>
          <t>Steakhouse Prime Instant (Base, Morpho V2)</t>
        </is>
      </c>
      <c r="C6" t="inlineStr">
        <is>
          <t>base</t>
        </is>
      </c>
      <c r="D6" t="inlineStr">
        <is>
          <t>B</t>
        </is>
      </c>
      <c r="E6" s="5" t="n">
        <v>205050313.3023583</v>
      </c>
      <c r="F6" s="5" t="n">
        <v>165760956.7307104</v>
      </c>
      <c r="G6" s="5" t="n">
        <v>-39289356.57164799</v>
      </c>
      <c r="H6" s="5" t="n">
        <v>710966.349560535</v>
      </c>
      <c r="I6" s="5" t="n">
        <v>0</v>
      </c>
      <c r="J6" s="5" t="n">
        <v>710966.349560535</v>
      </c>
      <c r="K6" s="5" t="n">
        <v>0</v>
      </c>
      <c r="L6" s="5" t="n">
        <v>201716952.456919</v>
      </c>
      <c r="M6" s="6" t="n">
        <v>1</v>
      </c>
      <c r="N6" s="5" t="n">
        <v>635116.405302843</v>
      </c>
      <c r="O6" s="5" t="n">
        <v>635116.405302843</v>
      </c>
      <c r="P6" s="5" t="n">
        <v>75849.9442576921</v>
      </c>
      <c r="Q6" s="5" t="n">
        <v>0</v>
      </c>
      <c r="R6" s="5" t="n">
        <v>0</v>
      </c>
    </row>
    <row r="7">
      <c r="A7" t="inlineStr">
        <is>
          <t>E8</t>
        </is>
      </c>
      <c r="B7" t="inlineStr">
        <is>
          <t>Janus Henderson Anemoy AAA CLO (JAAA)</t>
        </is>
      </c>
      <c r="C7" t="inlineStr">
        <is>
          <t>ethereum</t>
        </is>
      </c>
      <c r="D7" t="inlineStr">
        <is>
          <t>E</t>
        </is>
      </c>
      <c r="E7" s="5" t="n">
        <v>130734977.1979488</v>
      </c>
      <c r="F7" s="5" t="n">
        <v>131081648.6906533</v>
      </c>
      <c r="G7" s="5" t="n">
        <v>346671.4927044915</v>
      </c>
      <c r="H7" s="5" t="n">
        <v>346671.4927044915</v>
      </c>
      <c r="I7" s="5" t="n">
        <v>0</v>
      </c>
      <c r="J7" s="5" t="n">
        <v>346671.4927044915</v>
      </c>
      <c r="K7" s="5" t="n">
        <v>0</v>
      </c>
      <c r="L7" s="5" t="n">
        <v>130734977.1979488</v>
      </c>
      <c r="M7" s="6" t="n">
        <v>1</v>
      </c>
      <c r="N7" s="5" t="n">
        <v>411625.9330412184</v>
      </c>
      <c r="O7" s="5" t="n">
        <v>411625.9330412184</v>
      </c>
      <c r="P7" s="5" t="n">
        <v>-64954.44033672687</v>
      </c>
      <c r="Q7" s="5" t="n">
        <v>0</v>
      </c>
      <c r="R7" s="5" t="n">
        <v>0</v>
      </c>
    </row>
    <row r="8">
      <c r="A8" t="inlineStr">
        <is>
          <t>E7</t>
        </is>
      </c>
      <c r="B8" t="inlineStr">
        <is>
          <t>Securitize Tokenized AAA CLO Fund (STAC)</t>
        </is>
      </c>
      <c r="C8" t="inlineStr">
        <is>
          <t>ethereum</t>
        </is>
      </c>
      <c r="D8" t="inlineStr">
        <is>
          <t>E</t>
        </is>
      </c>
      <c r="E8" s="5" t="n">
        <v>103069993.8</v>
      </c>
      <c r="F8" s="5" t="n">
        <v>103405568.8</v>
      </c>
      <c r="G8" s="5" t="n">
        <v>335575</v>
      </c>
      <c r="H8" s="5" t="n">
        <v>335575</v>
      </c>
      <c r="I8" s="5" t="n">
        <v>0</v>
      </c>
      <c r="J8" s="5" t="n">
        <v>335575</v>
      </c>
      <c r="K8" s="5" t="n">
        <v>0</v>
      </c>
      <c r="L8" s="5" t="n">
        <v>103069993.8</v>
      </c>
      <c r="M8" s="6" t="n">
        <v>1</v>
      </c>
      <c r="N8" s="5" t="n">
        <v>324521.2817243162</v>
      </c>
      <c r="O8" s="5" t="n">
        <v>324521.2817243162</v>
      </c>
      <c r="P8" s="5" t="n">
        <v>11053.71827568376</v>
      </c>
      <c r="Q8" s="5" t="n">
        <v>0</v>
      </c>
      <c r="R8" s="5" t="n">
        <v>0</v>
      </c>
    </row>
    <row r="9">
      <c r="A9" t="inlineStr">
        <is>
          <t>E19</t>
        </is>
      </c>
      <c r="B9" t="inlineStr">
        <is>
          <t>Grove x Steakhouse USDC High Yield (Base, Morpho 4626)</t>
        </is>
      </c>
      <c r="C9" t="inlineStr">
        <is>
          <t>base</t>
        </is>
      </c>
      <c r="D9" t="inlineStr">
        <is>
          <t>B</t>
        </is>
      </c>
      <c r="E9" s="5" t="n">
        <v>78292572.65257983</v>
      </c>
      <c r="F9" s="5" t="n">
        <v>103325743.2897445</v>
      </c>
      <c r="G9" s="5" t="n">
        <v>25033170.6371647</v>
      </c>
      <c r="H9" s="5" t="n">
        <v>281614.4409197828</v>
      </c>
      <c r="I9" s="5" t="n">
        <v>0</v>
      </c>
      <c r="J9" s="5" t="n">
        <v>281614.4409197828</v>
      </c>
      <c r="K9" s="5" t="n">
        <v>0</v>
      </c>
      <c r="L9" s="5" t="n">
        <v>81016167.9876565</v>
      </c>
      <c r="M9" s="6" t="n">
        <v>1</v>
      </c>
      <c r="N9" s="5" t="n">
        <v>255083.6543830937</v>
      </c>
      <c r="O9" s="5" t="n">
        <v>255083.6543830937</v>
      </c>
      <c r="P9" s="5" t="n">
        <v>26530.78653668918</v>
      </c>
      <c r="Q9" s="5" t="n">
        <v>0</v>
      </c>
      <c r="R9" s="5" t="n">
        <v>0</v>
      </c>
    </row>
    <row r="10">
      <c r="A10" t="inlineStr">
        <is>
          <t>E41</t>
        </is>
      </c>
      <c r="B10" t="inlineStr">
        <is>
          <t>JTRSY Basin escrow — USDS pending subscription (Diamond PAU)</t>
        </is>
      </c>
      <c r="C10" t="inlineStr">
        <is>
          <t>ethereum</t>
        </is>
      </c>
      <c r="D10" t="inlineStr">
        <is>
          <t>A</t>
        </is>
      </c>
      <c r="E10" s="5" t="n">
        <v>12500000</v>
      </c>
      <c r="F10" s="5" t="n">
        <v>100000000</v>
      </c>
      <c r="G10" s="5" t="n">
        <v>87500000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38802841.06577624</v>
      </c>
      <c r="M10" s="6" t="n">
        <v>1</v>
      </c>
      <c r="N10" s="5" t="n">
        <v>122172.7803888801</v>
      </c>
      <c r="O10" s="5" t="n">
        <v>122172.7803888801</v>
      </c>
      <c r="P10" s="5" t="n">
        <v>-122172.7803888801</v>
      </c>
      <c r="Q10" s="5" t="n">
        <v>0</v>
      </c>
      <c r="R10" s="5" t="n">
        <v>0</v>
      </c>
    </row>
    <row r="11">
      <c r="A11" t="inlineStr">
        <is>
          <t>E12</t>
        </is>
      </c>
      <c r="B11" t="inlineStr">
        <is>
          <t>Uniswap V3 AUSD/USDC pool (NFT positions)</t>
        </is>
      </c>
      <c r="C11" t="inlineStr">
        <is>
          <t>ethereum</t>
        </is>
      </c>
      <c r="D11" t="inlineStr">
        <is>
          <t>F</t>
        </is>
      </c>
      <c r="E11" s="5" t="n">
        <v>29007524.509497</v>
      </c>
      <c r="F11" s="5" t="n">
        <v>10002041.437646</v>
      </c>
      <c r="G11" s="5" t="n">
        <v>-19005483.071851</v>
      </c>
      <c r="H11" s="5" t="n">
        <v>12817.364751</v>
      </c>
      <c r="I11" s="5" t="n">
        <v>0</v>
      </c>
      <c r="J11" s="5" t="n">
        <v>12817.364751</v>
      </c>
      <c r="K11" s="5" t="n">
        <v>0</v>
      </c>
      <c r="L11" s="5" t="n">
        <v>25000000</v>
      </c>
      <c r="M11" s="6" t="n">
        <v>1</v>
      </c>
      <c r="N11" s="5" t="n">
        <v>78713.81130429354</v>
      </c>
      <c r="O11" s="5" t="n">
        <v>78713.81130429354</v>
      </c>
      <c r="P11" s="5" t="n">
        <v>-65896.44655329354</v>
      </c>
      <c r="Q11" s="5" t="n">
        <v>0</v>
      </c>
      <c r="R11" s="5" t="n">
        <v>0</v>
      </c>
      <c r="S11" t="inlineStr">
        <is>
          <t>(off-chain notional)</t>
        </is>
      </c>
    </row>
    <row r="12">
      <c r="A12" t="inlineStr">
        <is>
          <t>E22</t>
        </is>
      </c>
      <c r="B12" t="inlineStr">
        <is>
          <t>Anemoy Tokenized Apollo Diversified Credit Fund (ACRDX)</t>
        </is>
      </c>
      <c r="C12" t="inlineStr">
        <is>
          <t>plume</t>
        </is>
      </c>
      <c r="D12" t="inlineStr">
        <is>
          <t>E</t>
        </is>
      </c>
      <c r="E12" s="5" t="n">
        <v>20703791.96596751</v>
      </c>
      <c r="F12" s="5" t="n">
        <v>20599353.68809858</v>
      </c>
      <c r="G12" s="5" t="n">
        <v>-104438.2778689326</v>
      </c>
      <c r="H12" s="5" t="n">
        <v>-104438.2778689326</v>
      </c>
      <c r="I12" s="5" t="n">
        <v>0</v>
      </c>
      <c r="J12" s="5" t="n">
        <v>-104438.2778689326</v>
      </c>
      <c r="K12" s="5" t="n">
        <v>0</v>
      </c>
      <c r="L12" s="5" t="n">
        <v>20703791.96596751</v>
      </c>
      <c r="M12" s="6" t="n">
        <v>1</v>
      </c>
      <c r="N12" s="5" t="n">
        <v>65186.97496370061</v>
      </c>
      <c r="O12" s="5" t="n">
        <v>65186.97496370061</v>
      </c>
      <c r="P12" s="5" t="n">
        <v>-169625.2528326332</v>
      </c>
      <c r="Q12" s="5" t="n">
        <v>0</v>
      </c>
      <c r="R12" s="5" t="n">
        <v>0</v>
      </c>
    </row>
    <row r="13">
      <c r="A13" t="inlineStr">
        <is>
          <t>E21</t>
        </is>
      </c>
      <c r="B13" t="inlineStr">
        <is>
          <t>Galaxy Arch CLO Token (GACLO-1)</t>
        </is>
      </c>
      <c r="C13" t="inlineStr">
        <is>
          <t>avalanche_c</t>
        </is>
      </c>
      <c r="D13" t="inlineStr">
        <is>
          <t>E</t>
        </is>
      </c>
      <c r="E13" s="5" t="n">
        <v>17907834.79</v>
      </c>
      <c r="F13" s="5" t="n">
        <v>17907834.79</v>
      </c>
      <c r="G13" s="5" t="n">
        <v>0</v>
      </c>
      <c r="H13" s="5" t="n">
        <v>172167.34</v>
      </c>
      <c r="I13" s="5" t="n">
        <v>0</v>
      </c>
      <c r="J13" s="5" t="n">
        <v>172167.34</v>
      </c>
      <c r="K13" s="5" t="n">
        <v>0</v>
      </c>
      <c r="L13" s="5" t="n">
        <v>17907834.79</v>
      </c>
      <c r="M13" s="6" t="n">
        <v>1</v>
      </c>
      <c r="N13" s="5" t="n">
        <v>56383.75714114093</v>
      </c>
      <c r="O13" s="5" t="n">
        <v>56383.75714114093</v>
      </c>
      <c r="P13" s="5" t="n">
        <v>115783.5828588591</v>
      </c>
      <c r="Q13" s="5" t="n">
        <v>0</v>
      </c>
      <c r="R13" s="5" t="n">
        <v>0</v>
      </c>
    </row>
    <row r="14">
      <c r="A14" t="inlineStr">
        <is>
          <t>E4</t>
        </is>
      </c>
      <c r="B14" t="inlineStr">
        <is>
          <t>Grove x Steakhouse USDC (Morpho 4626)</t>
        </is>
      </c>
      <c r="C14" t="inlineStr">
        <is>
          <t>ethereum</t>
        </is>
      </c>
      <c r="D14" t="inlineStr">
        <is>
          <t>B</t>
        </is>
      </c>
      <c r="E14" s="5" t="n">
        <v>4010961.682987081</v>
      </c>
      <c r="F14" s="5" t="n">
        <v>20033806.08952063</v>
      </c>
      <c r="G14" s="5" t="n">
        <v>16022844.40653354</v>
      </c>
      <c r="H14" s="5" t="n">
        <v>22298.28426779901</v>
      </c>
      <c r="I14" s="5" t="n">
        <v>0</v>
      </c>
      <c r="J14" s="5" t="n">
        <v>22298.28426779901</v>
      </c>
      <c r="K14" s="5" t="n">
        <v>0</v>
      </c>
      <c r="L14" s="5" t="n">
        <v>6711082.112735504</v>
      </c>
      <c r="M14" s="6" t="n">
        <v>1</v>
      </c>
      <c r="N14" s="5" t="n">
        <v>21130.19404277929</v>
      </c>
      <c r="O14" s="5" t="n">
        <v>21130.19404277929</v>
      </c>
      <c r="P14" s="5" t="n">
        <v>1168.090225019724</v>
      </c>
      <c r="Q14" s="5" t="n">
        <v>0</v>
      </c>
      <c r="R14" s="5" t="n">
        <v>0</v>
      </c>
    </row>
    <row r="15">
      <c r="A15" t="inlineStr">
        <is>
          <t>E27</t>
        </is>
      </c>
      <c r="B15" t="inlineStr">
        <is>
          <t>USDC raw on Base (ALM idle)</t>
        </is>
      </c>
      <c r="C15" t="inlineStr">
        <is>
          <t>base</t>
        </is>
      </c>
      <c r="D15" t="inlineStr">
        <is>
          <t>A</t>
        </is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708333.3333333334</v>
      </c>
      <c r="M15" s="6" t="n">
        <v>1</v>
      </c>
      <c r="N15" s="5" t="n">
        <v>2230.224653621651</v>
      </c>
      <c r="O15" s="5" t="n">
        <v>2230.224653621651</v>
      </c>
      <c r="P15" s="5" t="n">
        <v>-2230.224653621651</v>
      </c>
      <c r="Q15" s="5" t="n">
        <v>0</v>
      </c>
      <c r="R15" s="5" t="n">
        <v>0</v>
      </c>
    </row>
    <row r="16">
      <c r="A16" t="inlineStr">
        <is>
          <t>E15</t>
        </is>
      </c>
      <c r="B16" t="inlineStr">
        <is>
          <t>USDC raw (ALM idle)</t>
        </is>
      </c>
      <c r="C16" t="inlineStr">
        <is>
          <t>ethereum</t>
        </is>
      </c>
      <c r="D16" t="inlineStr">
        <is>
          <t>A</t>
        </is>
      </c>
      <c r="E16" s="5" t="n">
        <v>999.178498</v>
      </c>
      <c r="F16" s="5" t="n">
        <v>0</v>
      </c>
      <c r="G16" s="5" t="n">
        <v>-999.178498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130685.8459567</v>
      </c>
      <c r="M16" s="6" t="n">
        <v>1</v>
      </c>
      <c r="N16" s="5" t="n">
        <v>411.4712407511063</v>
      </c>
      <c r="O16" s="5" t="n">
        <v>411.4712407511063</v>
      </c>
      <c r="P16" s="5" t="n">
        <v>-411.4712407511063</v>
      </c>
      <c r="Q16" s="5" t="n">
        <v>0</v>
      </c>
      <c r="R16" s="5" t="n">
        <v>0</v>
      </c>
    </row>
    <row r="17">
      <c r="A17" t="inlineStr">
        <is>
          <t>E31</t>
        </is>
      </c>
      <c r="B17" t="inlineStr">
        <is>
          <t>AUSD raw (alt holder idle)</t>
        </is>
      </c>
      <c r="C17" t="inlineStr">
        <is>
          <t>ethereum</t>
        </is>
      </c>
      <c r="D17" t="inlineStr">
        <is>
          <t>A</t>
        </is>
      </c>
      <c r="E17" s="5" t="n">
        <v>10068.978846</v>
      </c>
      <c r="F17" s="5" t="n">
        <v>10068.978846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10068.978846</v>
      </c>
      <c r="M17" s="6" t="n">
        <v>1</v>
      </c>
      <c r="N17" s="5" t="n">
        <v>31.7027080364387</v>
      </c>
      <c r="O17" s="5" t="n">
        <v>31.7027080364387</v>
      </c>
      <c r="P17" s="5" t="n">
        <v>-31.7027080364387</v>
      </c>
      <c r="Q17" s="5" t="n">
        <v>0</v>
      </c>
      <c r="R17" s="5" t="n">
        <v>0</v>
      </c>
    </row>
    <row r="18">
      <c r="A18" t="inlineStr">
        <is>
          <t>E3</t>
        </is>
      </c>
      <c r="B18" t="inlineStr">
        <is>
          <t>Aave Ethereum RLUSD (aToken)</t>
        </is>
      </c>
      <c r="C18" t="inlineStr">
        <is>
          <t>ethereum</t>
        </is>
      </c>
      <c r="D18" t="inlineStr">
        <is>
          <t>C</t>
        </is>
      </c>
      <c r="E18" s="5" t="n">
        <v>0.3702338680298627</v>
      </c>
      <c r="F18" s="5" t="n">
        <v>0.3709484484571052</v>
      </c>
      <c r="G18" s="5" t="n">
        <v>0.000714580427242461</v>
      </c>
      <c r="H18" s="5" t="n">
        <v>0.000714580427242461</v>
      </c>
      <c r="I18" s="5" t="n">
        <v>0</v>
      </c>
      <c r="J18" s="5" t="n">
        <v>0.000714580427242461</v>
      </c>
      <c r="K18" s="5" t="n">
        <v>0</v>
      </c>
      <c r="L18" s="5" t="n">
        <v>0.3702338680298627</v>
      </c>
      <c r="M18" s="6" t="n">
        <v>1</v>
      </c>
      <c r="N18" s="5" t="n">
        <v>0.001165700753062453</v>
      </c>
      <c r="O18" s="5" t="n">
        <v>0.001165700753062453</v>
      </c>
      <c r="P18" s="5" t="n">
        <v>-0.0004511203258199923</v>
      </c>
      <c r="Q18" s="5" t="n">
        <v>0</v>
      </c>
      <c r="R18" s="5" t="n">
        <v>0</v>
      </c>
    </row>
    <row r="19">
      <c r="A19" t="inlineStr">
        <is>
          <t>E6</t>
        </is>
      </c>
      <c r="B19" t="inlineStr">
        <is>
          <t>Grove x Steakhouse AUSD (Morpho 4626)</t>
        </is>
      </c>
      <c r="C19" t="inlineStr">
        <is>
          <t>ethereum</t>
        </is>
      </c>
      <c r="D19" t="inlineStr">
        <is>
          <t>B</t>
        </is>
      </c>
      <c r="E19" s="5" t="n">
        <v>0.02838475959697621</v>
      </c>
      <c r="F19" s="5" t="n">
        <v>0.0285674793090044</v>
      </c>
      <c r="G19" s="5" t="n">
        <v>0.0001827197120281946</v>
      </c>
      <c r="H19" s="5" t="n">
        <v>0.0001827197120281946</v>
      </c>
      <c r="I19" s="5" t="n">
        <v>0</v>
      </c>
      <c r="J19" s="5" t="n">
        <v>0.0001827197120281946</v>
      </c>
      <c r="K19" s="5" t="n">
        <v>0</v>
      </c>
      <c r="L19" s="5" t="n">
        <v>0.02838475959697621</v>
      </c>
      <c r="M19" s="6" t="n">
        <v>1</v>
      </c>
      <c r="N19" s="5" t="n">
        <v>8.937090443336482e-05</v>
      </c>
      <c r="O19" s="5" t="n">
        <v>8.937090443336482e-05</v>
      </c>
      <c r="P19" s="5" t="n">
        <v>9.33488075948298e-05</v>
      </c>
      <c r="Q19" s="5" t="n">
        <v>0</v>
      </c>
      <c r="R19" s="5" t="n">
        <v>0</v>
      </c>
    </row>
    <row r="20">
      <c r="A20" t="inlineStr">
        <is>
          <t>E1</t>
        </is>
      </c>
      <c r="B20" t="inlineStr">
        <is>
          <t>Aave Horizon RWA RLUSD (aToken)</t>
        </is>
      </c>
      <c r="C20" t="inlineStr">
        <is>
          <t>ethereum</t>
        </is>
      </c>
      <c r="D20" t="inlineStr">
        <is>
          <t>C</t>
        </is>
      </c>
      <c r="E20" s="5" t="n">
        <v>0.01427085831446647</v>
      </c>
      <c r="F20" s="5" t="n">
        <v>0.01429149113482596</v>
      </c>
      <c r="G20" s="5" t="n">
        <v>2.0632820359493e-05</v>
      </c>
      <c r="H20" s="5" t="n">
        <v>2.0632820359493e-05</v>
      </c>
      <c r="I20" s="5" t="n">
        <v>0</v>
      </c>
      <c r="J20" s="5" t="n">
        <v>2.0632820359493e-05</v>
      </c>
      <c r="K20" s="5" t="n">
        <v>0</v>
      </c>
      <c r="L20" s="5" t="n">
        <v>0.01427085831446647</v>
      </c>
      <c r="M20" s="6" t="n">
        <v>1</v>
      </c>
      <c r="N20" s="5" t="n">
        <v>4.49325459406089e-05</v>
      </c>
      <c r="O20" s="5" t="n">
        <v>4.49325459406089e-05</v>
      </c>
      <c r="P20" s="5" t="n">
        <v>-2.42997255811159e-05</v>
      </c>
      <c r="Q20" s="5" t="n">
        <v>0</v>
      </c>
      <c r="R20" s="5" t="n">
        <v>0</v>
      </c>
    </row>
    <row r="21">
      <c r="A21" t="inlineStr">
        <is>
          <t>E2</t>
        </is>
      </c>
      <c r="B21" t="inlineStr">
        <is>
          <t>Aave Horizon RWA USDC (aToken)</t>
        </is>
      </c>
      <c r="C21" t="inlineStr">
        <is>
          <t>ethereum</t>
        </is>
      </c>
      <c r="D21" t="inlineStr">
        <is>
          <t>C</t>
        </is>
      </c>
      <c r="E21" s="5" t="n">
        <v>1e-06</v>
      </c>
      <c r="F21" s="5" t="n">
        <v>1e-06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1e-06</v>
      </c>
      <c r="M21" s="6" t="n">
        <v>1</v>
      </c>
      <c r="N21" s="5" t="n">
        <v>3.148552452171742e-09</v>
      </c>
      <c r="O21" s="5" t="n">
        <v>3.148552452171742e-09</v>
      </c>
      <c r="P21" s="5" t="n">
        <v>-3.148552452171742e-09</v>
      </c>
      <c r="Q21" s="5" t="n">
        <v>0</v>
      </c>
      <c r="R21" s="5" t="n">
        <v>0</v>
      </c>
    </row>
    <row r="22">
      <c r="A22" t="inlineStr">
        <is>
          <t>E5</t>
        </is>
      </c>
      <c r="B22" t="inlineStr">
        <is>
          <t>Grove x Steakhouse USDC High Yield (Morpho 4626)</t>
        </is>
      </c>
      <c r="C22" t="inlineStr">
        <is>
          <t>ethereum</t>
        </is>
      </c>
      <c r="D22" t="inlineStr">
        <is>
          <t>B</t>
        </is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6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</row>
    <row r="23">
      <c r="A23" t="inlineStr">
        <is>
          <t>E37</t>
        </is>
      </c>
      <c r="B23" t="inlineStr">
        <is>
          <t>Maple syrupUSDC (ERC-4626)</t>
        </is>
      </c>
      <c r="C23" t="inlineStr">
        <is>
          <t>ethereum</t>
        </is>
      </c>
      <c r="D23" t="inlineStr">
        <is>
          <t>B</t>
        </is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6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</row>
    <row r="24">
      <c r="A24" t="inlineStr">
        <is>
          <t>E11</t>
        </is>
      </c>
      <c r="B24" t="inlineStr">
        <is>
          <t>Curve AUSD/USDC stableswap LP</t>
        </is>
      </c>
      <c r="C24" t="inlineStr">
        <is>
          <t>ethereum</t>
        </is>
      </c>
      <c r="D24" t="inlineStr">
        <is>
          <t>F</t>
        </is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6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</row>
    <row r="25">
      <c r="A25" t="inlineStr">
        <is>
          <t>E30</t>
        </is>
      </c>
      <c r="B25" t="inlineStr">
        <is>
          <t>Uniswap V3 AUSD/USDC pool (NFT positions — alt holder)</t>
        </is>
      </c>
      <c r="C25" t="inlineStr">
        <is>
          <t>ethereum</t>
        </is>
      </c>
      <c r="D25" t="inlineStr">
        <is>
          <t>F</t>
        </is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6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</row>
    <row r="26">
      <c r="A26" t="inlineStr">
        <is>
          <t>E13</t>
        </is>
      </c>
      <c r="B26" t="inlineStr">
        <is>
          <t>RLUSD raw (ALM idle)</t>
        </is>
      </c>
      <c r="C26" t="inlineStr">
        <is>
          <t>ethereum</t>
        </is>
      </c>
      <c r="D26" t="inlineStr">
        <is>
          <t>A</t>
        </is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6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</row>
    <row r="27">
      <c r="A27" t="inlineStr">
        <is>
          <t>E32</t>
        </is>
      </c>
      <c r="B27" t="inlineStr">
        <is>
          <t>USDC raw (alt holder idle)</t>
        </is>
      </c>
      <c r="C27" t="inlineStr">
        <is>
          <t>ethereum</t>
        </is>
      </c>
      <c r="D27" t="inlineStr">
        <is>
          <t>A</t>
        </is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6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</row>
    <row r="28">
      <c r="A28" t="inlineStr">
        <is>
          <t>E16</t>
        </is>
      </c>
      <c r="B28" t="inlineStr">
        <is>
          <t>DAI raw (ALM idle)</t>
        </is>
      </c>
      <c r="C28" t="inlineStr">
        <is>
          <t>ethereum</t>
        </is>
      </c>
      <c r="D28" t="inlineStr">
        <is>
          <t>A</t>
        </is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6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</row>
    <row r="29">
      <c r="A29" t="inlineStr">
        <is>
          <t>E17</t>
        </is>
      </c>
      <c r="B29" t="inlineStr">
        <is>
          <t>USDS raw / POL (ALM idle — already netted out of utilized)</t>
        </is>
      </c>
      <c r="C29" t="inlineStr">
        <is>
          <t>ethereum</t>
        </is>
      </c>
      <c r="D29" t="inlineStr">
        <is>
          <t>A</t>
        </is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6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t="inlineStr">
        <is>
          <t>CoF excluded (already deducted from utilized)</t>
        </is>
      </c>
    </row>
    <row r="30">
      <c r="A30" t="inlineStr">
        <is>
          <t>E18</t>
        </is>
      </c>
      <c r="B30" t="inlineStr">
        <is>
          <t>sUSDS raw / POL (ALM idle — Cat B 4626)</t>
        </is>
      </c>
      <c r="C30" t="inlineStr">
        <is>
          <t>ethereum</t>
        </is>
      </c>
      <c r="D30" t="inlineStr">
        <is>
          <t>B</t>
        </is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6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</row>
    <row r="31">
      <c r="A31" t="inlineStr">
        <is>
          <t>E24</t>
        </is>
      </c>
      <c r="B31" t="inlineStr">
        <is>
          <t>Steakhouse High Yield PYUSD (Morpho 4626)</t>
        </is>
      </c>
      <c r="C31" t="inlineStr">
        <is>
          <t>ethereum</t>
        </is>
      </c>
      <c r="D31" t="inlineStr">
        <is>
          <t>B</t>
        </is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6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</row>
    <row r="32">
      <c r="A32" t="inlineStr">
        <is>
          <t>E26</t>
        </is>
      </c>
      <c r="B32" t="inlineStr">
        <is>
          <t>PYUSD raw (ALM idle)</t>
        </is>
      </c>
      <c r="C32" t="inlineStr">
        <is>
          <t>ethereum</t>
        </is>
      </c>
      <c r="D32" t="inlineStr">
        <is>
          <t>A</t>
        </is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6" t="n">
        <v>1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</row>
    <row r="33">
      <c r="A33" t="inlineStr">
        <is>
          <t>E38</t>
        </is>
      </c>
      <c r="B33" t="inlineStr">
        <is>
          <t>Agora AUSD incentives (cash distribution to Grove Eth ALM)</t>
        </is>
      </c>
      <c r="C33" t="inlineStr">
        <is>
          <t>ethereum</t>
        </is>
      </c>
      <c r="D33" t="inlineStr">
        <is>
          <t>A</t>
        </is>
      </c>
      <c r="E33" s="5" t="n">
        <v>0</v>
      </c>
      <c r="F33" s="5" t="n">
        <v>0</v>
      </c>
      <c r="G33" s="5" t="n">
        <v>0</v>
      </c>
      <c r="H33" s="5" t="n">
        <v>665172</v>
      </c>
      <c r="I33" s="5" t="n">
        <v>0</v>
      </c>
      <c r="J33" s="5" t="n">
        <v>665172</v>
      </c>
      <c r="K33" s="5" t="n">
        <v>0</v>
      </c>
      <c r="L33" s="5" t="n">
        <v>0</v>
      </c>
      <c r="M33" s="6" t="n">
        <v>1</v>
      </c>
      <c r="N33" s="5" t="n">
        <v>0</v>
      </c>
      <c r="O33" s="5" t="n">
        <v>0</v>
      </c>
      <c r="P33" s="5" t="n">
        <v>665172</v>
      </c>
      <c r="Q33" s="5" t="n">
        <v>0</v>
      </c>
      <c r="R33" s="5" t="n">
        <v>0</v>
      </c>
    </row>
    <row r="34">
      <c r="A34" t="inlineStr">
        <is>
          <t>E40</t>
        </is>
      </c>
      <c r="B34" t="inlineStr">
        <is>
          <t>USDS raw (Diamond PAU ALM idle)</t>
        </is>
      </c>
      <c r="C34" t="inlineStr">
        <is>
          <t>ethereum</t>
        </is>
      </c>
      <c r="D34" t="inlineStr">
        <is>
          <t>A</t>
        </is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6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</row>
    <row r="35">
      <c r="A35" t="inlineStr">
        <is>
          <t>PSM_CURVE_DEDUCT</t>
        </is>
      </c>
      <c r="B35" t="inlineStr">
        <is>
          <t>PSM3 USDS + PSM3 USDC (SDE) + Curve idle USDS — BR deduction (unattributed)</t>
        </is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6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t="inlineStr">
        <is>
          <t>BR deduction from PSM3 USDS leg + PSM3 USDC leg (SDE, ≈$0 yield) + Curve idle USDS — not tracked per-venue; residual = sky_rev_br_reduction − Σ(known venue deduction_avg × effective_br_rate × n_days)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</cols>
  <sheetData>
    <row r="1">
      <c r="A1" s="1" t="inlineStr">
        <is>
          <t>How Sky's monthly take is built</t>
        </is>
      </c>
    </row>
    <row r="3">
      <c r="A3" s="7" t="inlineStr">
        <is>
          <t>Rates &amp; subsidy — effective rate charged this period</t>
        </is>
      </c>
    </row>
    <row r="4">
      <c r="A4" s="2" t="inlineStr">
        <is>
          <t>Metric</t>
        </is>
      </c>
      <c r="B4" s="2" t="inlineStr">
        <is>
          <t>Value</t>
        </is>
      </c>
    </row>
    <row r="5">
      <c r="A5" t="inlineStr">
        <is>
          <t>Time-weighted utilized</t>
        </is>
      </c>
      <c r="B5" s="5" t="n">
        <v>1231235574.391315</v>
      </c>
    </row>
    <row r="6">
      <c r="A6" t="inlineStr">
        <is>
          <t xml:space="preserve">  — first $1B (subsidised tranche)</t>
        </is>
      </c>
      <c r="B6" s="5" t="n">
        <v>1000000000</v>
      </c>
    </row>
    <row r="7">
      <c r="A7" t="inlineStr">
        <is>
          <t xml:space="preserve">  — excess (full base-rate tranche)</t>
        </is>
      </c>
      <c r="B7" s="5" t="n">
        <v>231235574.3913149</v>
      </c>
    </row>
    <row r="8">
      <c r="A8" t="inlineStr">
        <is>
          <t>Base rate (BR_apr = apy_to_apr(SSR,12) + spread; 30bps, 20bps from 2026-07-23), period avg</t>
        </is>
      </c>
      <c r="B8" s="6" t="n">
        <v>0.03737049927466624</v>
      </c>
    </row>
    <row r="9">
      <c r="A9" t="inlineStr">
        <is>
          <t>Reference rate (tbill_3m→sofr@2026-07-23), period avg</t>
        </is>
      </c>
      <c r="B9" s="6" t="n">
        <v>0.03748666666666667</v>
      </c>
    </row>
    <row r="10">
      <c r="A10" t="inlineStr">
        <is>
          <t>Subsidised rate (BR*), period avg</t>
        </is>
      </c>
      <c r="B10" s="6" t="n">
        <v>0.03703300982840613</v>
      </c>
    </row>
    <row r="11">
      <c r="A11" s="7" t="inlineStr">
        <is>
          <t>Effective blended rate charged</t>
        </is>
      </c>
      <c r="B11" s="8" t="n">
        <v>0.03709869358790142</v>
      </c>
    </row>
    <row r="12">
      <c r="A12" s="7" t="inlineStr">
        <is>
          <t>Diff vs base rate (bps)</t>
        </is>
      </c>
      <c r="B12" s="9" t="n">
        <v>-2.718056867648138</v>
      </c>
    </row>
    <row r="13">
      <c r="A13" s="7" t="inlineStr">
        <is>
          <t>Subsidy benefit to prime (USD)</t>
        </is>
      </c>
      <c r="B13" s="10" t="n">
        <v>27506.04089315349</v>
      </c>
    </row>
    <row r="15">
      <c r="A15" t="inlineStr">
        <is>
          <t>CoF at full base rate (no subsidy)</t>
        </is>
      </c>
      <c r="B15" s="3" t="n">
        <v>3781799.025183608</v>
      </c>
    </row>
    <row r="16">
      <c r="A16" t="inlineStr">
        <is>
          <t xml:space="preserve">  − actual CoF (subsidy on first tranche)</t>
        </is>
      </c>
      <c r="B16" s="3" t="n">
        <v>3754292.984290455</v>
      </c>
    </row>
    <row r="17">
      <c r="A17" s="7" t="inlineStr">
        <is>
          <t xml:space="preserve">  = subsidy benefit</t>
        </is>
      </c>
      <c r="B17" s="10" t="n">
        <v>27506.04089315349</v>
      </c>
    </row>
    <row r="19">
      <c r="A19" s="2" t="inlineStr">
        <is>
          <t>Tranche</t>
        </is>
      </c>
      <c r="B19" s="2" t="inlineStr">
        <is>
          <t>Avg balance</t>
        </is>
      </c>
      <c r="C19" s="2" t="inlineStr">
        <is>
          <t>CoF (USD)</t>
        </is>
      </c>
    </row>
    <row r="20">
      <c r="A20" t="inlineStr">
        <is>
          <t>Subsidised (first $1B)</t>
        </is>
      </c>
      <c r="B20" s="5" t="n">
        <v>1000000000</v>
      </c>
      <c r="C20" s="3" t="n">
        <v>3043809.026992285</v>
      </c>
    </row>
    <row r="21">
      <c r="A21" t="inlineStr">
        <is>
          <t>Excess (&gt; cap)</t>
        </is>
      </c>
      <c r="B21" s="5" t="n">
        <v>231235574.3913149</v>
      </c>
      <c r="C21" s="3" t="n">
        <v>710483.9572981695</v>
      </c>
    </row>
    <row r="23">
      <c r="A23" s="2" t="inlineStr">
        <is>
          <t>Component</t>
        </is>
      </c>
      <c r="B23" s="2" t="inlineStr">
        <is>
          <t>USD</t>
        </is>
      </c>
    </row>
    <row r="24">
      <c r="A24" t="inlineStr">
        <is>
          <t>CoF on utilized debt (= Σ_d max(utilized_d,0) × (1+BR_d)^(1/365)−1)</t>
        </is>
      </c>
      <c r="B24" s="3" t="n">
        <v>3754292.984290455</v>
      </c>
    </row>
    <row r="25">
      <c r="A25" t="inlineStr">
        <is>
          <t>+ Sky-Direct revenue (full venue yield on fixed/capped SDE)</t>
        </is>
      </c>
      <c r="B25" s="3" t="n">
        <v>2507467.934719144</v>
      </c>
    </row>
    <row r="26">
      <c r="A26" t="inlineStr">
        <is>
          <t>equals sky_revenue (total Sky take this month)</t>
        </is>
      </c>
      <c r="B26" s="3" t="n">
        <v>6261760.919009599</v>
      </c>
    </row>
    <row r="28">
      <c r="A28" s="11" t="inlineStr">
        <is>
          <t>Utilized base = cum_debt − idle USDS − PSM USDS − Σ SDE asset value − Curve idle − lending idle</t>
        </is>
      </c>
    </row>
    <row r="30">
      <c r="A30" s="7" t="inlineStr">
        <is>
          <t>Sky Revenue (max) — BR × full ilk debt (no deductions)</t>
        </is>
      </c>
      <c r="B30" s="3" t="n">
        <v>6580178.736728188</v>
      </c>
    </row>
    <row r="31">
      <c r="A31" t="inlineStr">
        <is>
          <t xml:space="preserve">    ↳ actual CoF on Net_Subs (BR × utilized)</t>
        </is>
      </c>
      <c r="B31" s="3" t="n">
        <v>3754292.984290455</v>
      </c>
    </row>
    <row r="32">
      <c r="A32" t="inlineStr">
        <is>
          <t xml:space="preserve">    ↳ reduction from idle/SDE deductions</t>
        </is>
      </c>
      <c r="B32" s="3" t="n">
        <v>-2825885.752437733</v>
      </c>
    </row>
    <row r="33" ht="60" customHeight="1">
      <c r="A33" s="12" t="inlineStr">
        <is>
          <t>Note: sky_revenue can EXCEED sky_revenue_gross for primes with active SDE positions — sky_revenue also adds sde_revenue on top of BR-on-utilized. The subsidised BR (ref_rate ramp) is already applied here; this is NOT the raw Maker base rate.</t>
        </is>
      </c>
    </row>
    <row r="35">
      <c r="A35" s="2" t="inlineStr">
        <is>
          <t>Subsidy</t>
        </is>
      </c>
      <c r="B35" s="2" t="inlineStr">
        <is>
          <t>Value</t>
        </is>
      </c>
    </row>
    <row r="36">
      <c r="A36" t="inlineStr">
        <is>
          <t>enabled</t>
        </is>
      </c>
      <c r="B36" t="inlineStr">
        <is>
          <t>true</t>
        </is>
      </c>
    </row>
    <row r="37">
      <c r="A37" t="inlineStr">
        <is>
          <t>cap_usd</t>
        </is>
      </c>
      <c r="B37" s="5" t="n">
        <v>1000000000</v>
      </c>
    </row>
    <row r="38">
      <c r="A38" t="inlineStr">
        <is>
          <t>program_start</t>
        </is>
      </c>
      <c r="B38" t="inlineStr">
        <is>
          <t>2026-01-01</t>
        </is>
      </c>
    </row>
    <row r="39">
      <c r="A39" t="inlineStr">
        <is>
          <t>ramp_months</t>
        </is>
      </c>
      <c r="B39" t="n">
        <v>24</v>
      </c>
    </row>
    <row r="40">
      <c r="A40" t="inlineStr">
        <is>
          <t>ref_rate_kind</t>
        </is>
      </c>
      <c r="B40" t="inlineStr">
        <is>
          <t>tbill_3m→sofr@2026-07-23</t>
        </is>
      </c>
    </row>
    <row r="41">
      <c r="A41" t="inlineStr">
        <is>
          <t>T this period</t>
        </is>
      </c>
      <c r="B41" t="inlineStr">
        <is>
          <t>8 (SoM) → 8 (EoM)</t>
        </is>
      </c>
    </row>
    <row r="42">
      <c r="A42" s="11" t="inlineStr">
        <is>
          <t>Formula</t>
        </is>
      </c>
      <c r="B42" t="inlineStr">
        <is>
          <t>subsidised_apr = ref_rate + (base_apr − ref_rate) × min(T, 24) / 24, applied to first cap_usd of utilized; excess at full base_apr</t>
        </is>
      </c>
    </row>
    <row r="44">
      <c r="A44" s="11" t="inlineStr">
        <is>
          <t>Base rate composition: base_apr = apy_to_apr(SSR, n=12) + spread (nominal; spread 30bps, 20bps from 2026-07-23). Daily charge = utilized_d x base_apr / 365 — no intra-month compounding.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2" customWidth="1" min="5" max="5"/>
    <col width="8" customWidth="1" min="6" max="6"/>
    <col width="50" customWidth="1" min="7" max="7"/>
    <col width="25" customWidth="1" min="8" max="8"/>
    <col width="16" customWidth="1" min="9" max="9"/>
    <col width="18" customWidth="1" min="10" max="10"/>
  </cols>
  <sheetData>
    <row r="1">
      <c r="A1" s="1" t="inlineStr">
        <is>
          <t>Sky-Direct Exposures applied this period</t>
        </is>
      </c>
    </row>
    <row r="3">
      <c r="A3" s="2" t="inlineStr">
        <is>
          <t>Venue</t>
        </is>
      </c>
      <c r="B3" s="2" t="inlineStr">
        <is>
          <t>Kind</t>
        </is>
      </c>
      <c r="C3" s="2" t="inlineStr">
        <is>
          <t>Cap (USD)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Active?</t>
        </is>
      </c>
      <c r="G3" s="2" t="inlineStr">
        <is>
          <t>Source</t>
        </is>
      </c>
      <c r="H3" s="2" t="inlineStr">
        <is>
          <t>Label</t>
        </is>
      </c>
      <c r="I3" s="2" t="inlineStr">
        <is>
          <t>actual_revenue</t>
        </is>
      </c>
      <c r="J3" s="2" t="inlineStr">
        <is>
          <t>sd_revenue (to Sky)</t>
        </is>
      </c>
    </row>
    <row r="4">
      <c r="A4" t="inlineStr">
        <is>
          <t>E10</t>
        </is>
      </c>
      <c r="B4" t="inlineStr">
        <is>
          <t>fixed</t>
        </is>
      </c>
      <c r="D4" t="inlineStr">
        <is>
          <t>2025-10-30</t>
        </is>
      </c>
      <c r="E4" t="inlineStr">
        <is>
          <t>—</t>
        </is>
      </c>
      <c r="F4" t="inlineStr">
        <is>
          <t>YES</t>
        </is>
      </c>
      <c r="G4" t="inlineStr">
        <is>
          <t>Atlas A.2.2.9.1.1.1.1.1 — Treasury Bills</t>
        </is>
      </c>
      <c r="H4" t="inlineStr">
        <is>
          <t>BUIDL on Eth</t>
        </is>
      </c>
      <c r="I4" s="5" t="n">
        <v>1065483.58</v>
      </c>
      <c r="J4" s="5" t="n">
        <v>1065483.58</v>
      </c>
    </row>
    <row r="5">
      <c r="A5" t="inlineStr">
        <is>
          <t>E9</t>
        </is>
      </c>
      <c r="B5" t="inlineStr">
        <is>
          <t>fixed</t>
        </is>
      </c>
      <c r="D5" t="inlineStr">
        <is>
          <t>2025-10-30</t>
        </is>
      </c>
      <c r="E5" t="inlineStr">
        <is>
          <t>—</t>
        </is>
      </c>
      <c r="F5" t="inlineStr">
        <is>
          <t>YES</t>
        </is>
      </c>
      <c r="G5" t="inlineStr">
        <is>
          <t>Atlas A.2.2.9.1.1.1.1.1 — Treasury Bills</t>
        </is>
      </c>
      <c r="H5" t="inlineStr">
        <is>
          <t>JTRSY on Eth</t>
        </is>
      </c>
      <c r="I5" s="5" t="n">
        <v>1441984.354719144</v>
      </c>
      <c r="J5" s="5" t="n">
        <v>1441984.354719144</v>
      </c>
    </row>
    <row r="6">
      <c r="A6" t="inlineStr">
        <is>
          <t>E8</t>
        </is>
      </c>
      <c r="B6" t="inlineStr">
        <is>
          <t>capped</t>
        </is>
      </c>
      <c r="C6" s="5" t="n">
        <v>325000000</v>
      </c>
      <c r="D6" t="inlineStr">
        <is>
          <t>2025-10-23</t>
        </is>
      </c>
      <c r="E6" t="inlineStr">
        <is>
          <t>2026-03-12</t>
        </is>
      </c>
      <c r="F6" t="inlineStr">
        <is>
          <t>no</t>
        </is>
      </c>
      <c r="G6" t="inlineStr">
        <is>
          <t>Atlas A.2.2.9.1.1.1.1.3.0.6.1 — Historical SDE</t>
        </is>
      </c>
      <c r="H6" t="inlineStr">
        <is>
          <t>JAAA on Eth (≤ $325M)</t>
        </is>
      </c>
      <c r="I6" s="5" t="n">
        <v>346671.4927044915</v>
      </c>
      <c r="J6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0" customWidth="1" min="10" max="10"/>
    <col width="10" customWidth="1" min="11" max="11"/>
    <col width="11" customWidth="1" min="12" max="12"/>
    <col width="12" customWidth="1" min="13" max="13"/>
    <col width="11" customWidth="1" min="14" max="14"/>
    <col width="18" customWidth="1" min="15" max="15"/>
    <col width="22" customWidth="1" min="16" max="16"/>
  </cols>
  <sheetData>
    <row r="1">
      <c r="A1" s="1" t="inlineStr">
        <is>
          <t>Daily ilk debt + Sky charge breakdown</t>
        </is>
      </c>
    </row>
    <row r="3" ht="45" customHeight="1">
      <c r="A3" s="12" t="inlineStr">
        <is>
          <t>cum_debt = Σ on-chain Vat dart from frob (0x76088703) + grab (0x7bab3f40), then scaled by Vat.ilks[ilk].rate_d / 1e27 read at each day's EoD block — actual outstanding USDS per day, not raw normalised Art. utilized = cum_debt − Σ deductions. base_apr = apy_to_apr(SSR, n=12) + spread (nominal; spread 30bps, 20bps from 2026-07-23). sub_apr applies on the first cap_usd of utilized when the subsidy is active; excess pays base_apr.</t>
        </is>
      </c>
    </row>
    <row r="5">
      <c r="A5" s="2" t="inlineStr">
        <is>
          <t>Date</t>
        </is>
      </c>
      <c r="B5" s="2" t="inlineStr">
        <is>
          <t>cum_debt</t>
        </is>
      </c>
      <c r="C5" s="2" t="inlineStr">
        <is>
          <t>− ALM idle</t>
        </is>
      </c>
      <c r="D5" s="2" t="inlineStr">
        <is>
          <t>− PSM USDS</t>
        </is>
      </c>
      <c r="E5" s="2" t="inlineStr">
        <is>
          <t>− SDE NAV</t>
        </is>
      </c>
      <c r="F5" s="2" t="inlineStr">
        <is>
          <t>− Curve idle</t>
        </is>
      </c>
      <c r="G5" s="2" t="inlineStr">
        <is>
          <t>− Lending idle</t>
        </is>
      </c>
      <c r="H5" s="2" t="inlineStr">
        <is>
          <t>- Basin idle</t>
        </is>
      </c>
      <c r="I5" s="2">
        <f> utilized</f>
        <v/>
      </c>
      <c r="J5" s="2" t="inlineStr">
        <is>
          <t>SSR APY</t>
        </is>
      </c>
      <c r="K5" s="2" t="inlineStr">
        <is>
          <t>base APR</t>
        </is>
      </c>
      <c r="L5" s="2" t="inlineStr">
        <is>
          <t>T (months)</t>
        </is>
      </c>
      <c r="M5" s="2" t="inlineStr">
        <is>
          <t>ref_rate APR</t>
        </is>
      </c>
      <c r="N5" s="2" t="inlineStr">
        <is>
          <t>sub APR</t>
        </is>
      </c>
      <c r="O5" s="2" t="inlineStr">
        <is>
          <t>daily Sky charge</t>
        </is>
      </c>
      <c r="P5" s="2" t="inlineStr">
        <is>
          <t>daily Sky charge (gross on cum_debt)</t>
        </is>
      </c>
    </row>
    <row r="6">
      <c r="A6" t="inlineStr">
        <is>
          <t>2026-09-01</t>
        </is>
      </c>
      <c r="B6" s="5" t="n">
        <v>2626665797.121428</v>
      </c>
      <c r="C6" s="5" t="n">
        <v>0</v>
      </c>
      <c r="D6" s="5" t="n">
        <v>0</v>
      </c>
      <c r="E6" s="5" t="n">
        <v>1451451703.157209</v>
      </c>
      <c r="F6" s="5" t="n">
        <v>0</v>
      </c>
      <c r="G6" s="5" t="n">
        <v>0</v>
      </c>
      <c r="H6" s="5" t="n">
        <v>12499999.49993904</v>
      </c>
      <c r="I6" s="5" t="n">
        <v>1162714094.46428</v>
      </c>
      <c r="J6" s="6" t="n">
        <v>0.03519999850777533</v>
      </c>
      <c r="K6" s="6" t="n">
        <v>0.03664455749990904</v>
      </c>
      <c r="L6" t="n">
        <v>8</v>
      </c>
      <c r="M6" s="6" t="n">
        <v>0.0366</v>
      </c>
      <c r="N6" s="6" t="n">
        <v>0.03661485249996968</v>
      </c>
      <c r="O6" s="3" t="n">
        <v>116650.5164126346</v>
      </c>
      <c r="P6" s="3" t="n">
        <v>263625.481741702</v>
      </c>
    </row>
    <row r="7">
      <c r="A7" t="inlineStr">
        <is>
          <t>2026-09-02</t>
        </is>
      </c>
      <c r="B7" s="5" t="n">
        <v>2603788091.643293</v>
      </c>
      <c r="C7" s="5" t="n">
        <v>0</v>
      </c>
      <c r="D7" s="5" t="n">
        <v>0</v>
      </c>
      <c r="E7" s="5" t="n">
        <v>1426577413.99278</v>
      </c>
      <c r="F7" s="5" t="n">
        <v>0</v>
      </c>
      <c r="G7" s="5" t="n">
        <v>0</v>
      </c>
      <c r="H7" s="5" t="n">
        <v>12499999.49993904</v>
      </c>
      <c r="I7" s="5" t="n">
        <v>1164710678.150574</v>
      </c>
      <c r="J7" s="6" t="n">
        <v>0.03519999850777533</v>
      </c>
      <c r="K7" s="6" t="n">
        <v>0.03664455749990904</v>
      </c>
      <c r="L7" t="n">
        <v>8</v>
      </c>
      <c r="M7" s="6" t="n">
        <v>0.0365</v>
      </c>
      <c r="N7" s="6" t="n">
        <v>0.03654818583330301</v>
      </c>
      <c r="O7" s="3" t="n">
        <v>116668.3171223034</v>
      </c>
      <c r="P7" s="3" t="n">
        <v>261146.0021238221</v>
      </c>
    </row>
    <row r="8">
      <c r="A8" t="inlineStr">
        <is>
          <t>2026-09-03</t>
        </is>
      </c>
      <c r="B8" s="5" t="n">
        <v>2573732117.181165</v>
      </c>
      <c r="C8" s="5" t="n">
        <v>0</v>
      </c>
      <c r="D8" s="5" t="n">
        <v>0</v>
      </c>
      <c r="E8" s="5" t="n">
        <v>1401714968.754915</v>
      </c>
      <c r="F8" s="5" t="n">
        <v>0</v>
      </c>
      <c r="G8" s="5" t="n">
        <v>0</v>
      </c>
      <c r="H8" s="5" t="n">
        <v>12499997.4905512</v>
      </c>
      <c r="I8" s="5" t="n">
        <v>1159517150.935699</v>
      </c>
      <c r="J8" s="6" t="n">
        <v>0.03600000425292382</v>
      </c>
      <c r="K8" s="6" t="n">
        <v>0.03741931731351311</v>
      </c>
      <c r="L8" t="n">
        <v>8</v>
      </c>
      <c r="M8" s="6" t="n">
        <v>0.0366</v>
      </c>
      <c r="N8" s="6" t="n">
        <v>0.03687310577117104</v>
      </c>
      <c r="O8" s="3" t="n">
        <v>117375.6949561137</v>
      </c>
      <c r="P8" s="3" t="n">
        <v>262359.1430970955</v>
      </c>
    </row>
    <row r="9">
      <c r="A9" t="inlineStr">
        <is>
          <t>2026-09-04</t>
        </is>
      </c>
      <c r="B9" s="5" t="n">
        <v>2568726183.618211</v>
      </c>
      <c r="C9" s="5" t="n">
        <v>0</v>
      </c>
      <c r="D9" s="5" t="n">
        <v>0</v>
      </c>
      <c r="E9" s="5" t="n">
        <v>1351879932.737562</v>
      </c>
      <c r="F9" s="5" t="n">
        <v>0</v>
      </c>
      <c r="G9" s="5" t="n">
        <v>0</v>
      </c>
      <c r="H9" s="5" t="n">
        <v>12499999.4999392</v>
      </c>
      <c r="I9" s="5" t="n">
        <v>1204346251.38071</v>
      </c>
      <c r="J9" s="6" t="n">
        <v>0.03600000425292382</v>
      </c>
      <c r="K9" s="6" t="n">
        <v>0.03741931731351311</v>
      </c>
      <c r="L9" t="n">
        <v>8</v>
      </c>
      <c r="M9" s="6" t="n">
        <v>0.0365</v>
      </c>
      <c r="N9" s="6" t="n">
        <v>0.03680643910450437</v>
      </c>
      <c r="O9" s="3" t="n">
        <v>121788.8666486194</v>
      </c>
      <c r="P9" s="3" t="n">
        <v>261663.2930063853</v>
      </c>
    </row>
    <row r="10">
      <c r="A10" t="inlineStr">
        <is>
          <t>2026-09-05</t>
        </is>
      </c>
      <c r="B10" s="5" t="n">
        <v>2568726183.618211</v>
      </c>
      <c r="C10" s="5" t="n">
        <v>0</v>
      </c>
      <c r="D10" s="5" t="n">
        <v>0</v>
      </c>
      <c r="E10" s="5" t="n">
        <v>1351879932.737562</v>
      </c>
      <c r="F10" s="5" t="n">
        <v>0</v>
      </c>
      <c r="G10" s="5" t="n">
        <v>0</v>
      </c>
      <c r="H10" s="5" t="n">
        <v>12499999.4999392</v>
      </c>
      <c r="I10" s="5" t="n">
        <v>1204346251.38071</v>
      </c>
      <c r="J10" s="6" t="n">
        <v>0.03600000425292382</v>
      </c>
      <c r="K10" s="6" t="n">
        <v>0.03741931731351311</v>
      </c>
      <c r="L10" t="n">
        <v>8</v>
      </c>
      <c r="M10" s="6" t="n">
        <v>0.0365</v>
      </c>
      <c r="N10" s="6" t="n">
        <v>0.03680643910450437</v>
      </c>
      <c r="O10" s="3" t="n">
        <v>121788.8666486194</v>
      </c>
      <c r="P10" s="3" t="n">
        <v>261663.2930063853</v>
      </c>
    </row>
    <row r="11">
      <c r="A11" t="inlineStr">
        <is>
          <t>2026-09-06</t>
        </is>
      </c>
      <c r="B11" s="5" t="n">
        <v>2568726183.618211</v>
      </c>
      <c r="C11" s="5" t="n">
        <v>0</v>
      </c>
      <c r="D11" s="5" t="n">
        <v>0</v>
      </c>
      <c r="E11" s="5" t="n">
        <v>1351879932.737562</v>
      </c>
      <c r="F11" s="5" t="n">
        <v>0</v>
      </c>
      <c r="G11" s="5" t="n">
        <v>0</v>
      </c>
      <c r="H11" s="5" t="n">
        <v>12499999.4999392</v>
      </c>
      <c r="I11" s="5" t="n">
        <v>1204346251.38071</v>
      </c>
      <c r="J11" s="6" t="n">
        <v>0.03600000425292382</v>
      </c>
      <c r="K11" s="6" t="n">
        <v>0.03741931731351311</v>
      </c>
      <c r="L11" t="n">
        <v>8</v>
      </c>
      <c r="M11" s="6" t="n">
        <v>0.0365</v>
      </c>
      <c r="N11" s="6" t="n">
        <v>0.03680643910450437</v>
      </c>
      <c r="O11" s="3" t="n">
        <v>121788.8666486194</v>
      </c>
      <c r="P11" s="3" t="n">
        <v>261663.2930063853</v>
      </c>
    </row>
    <row r="12">
      <c r="A12" t="inlineStr">
        <is>
          <t>2026-09-07</t>
        </is>
      </c>
      <c r="B12" s="5" t="n">
        <v>2568726183.618211</v>
      </c>
      <c r="C12" s="5" t="n">
        <v>0</v>
      </c>
      <c r="D12" s="5" t="n">
        <v>0</v>
      </c>
      <c r="E12" s="5" t="n">
        <v>1351879932.737562</v>
      </c>
      <c r="F12" s="5" t="n">
        <v>0</v>
      </c>
      <c r="G12" s="5" t="n">
        <v>0</v>
      </c>
      <c r="H12" s="5" t="n">
        <v>12499999.4999392</v>
      </c>
      <c r="I12" s="5" t="n">
        <v>1204346251.38071</v>
      </c>
      <c r="J12" s="6" t="n">
        <v>0.03600000425292382</v>
      </c>
      <c r="K12" s="6" t="n">
        <v>0.03741931731351311</v>
      </c>
      <c r="L12" t="n">
        <v>8</v>
      </c>
      <c r="M12" s="6" t="n">
        <v>0.0365</v>
      </c>
      <c r="N12" s="6" t="n">
        <v>0.03680643910450437</v>
      </c>
      <c r="O12" s="3" t="n">
        <v>121788.8666486194</v>
      </c>
      <c r="P12" s="3" t="n">
        <v>261663.2930063853</v>
      </c>
    </row>
    <row r="13">
      <c r="A13" t="inlineStr">
        <is>
          <t>2026-09-08</t>
        </is>
      </c>
      <c r="B13" s="5" t="n">
        <v>2518291350.818485</v>
      </c>
      <c r="C13" s="5" t="n">
        <v>0</v>
      </c>
      <c r="D13" s="5" t="n">
        <v>0</v>
      </c>
      <c r="E13" s="5" t="n">
        <v>1327389909.500666</v>
      </c>
      <c r="F13" s="5" t="n">
        <v>0</v>
      </c>
      <c r="G13" s="5" t="n">
        <v>0</v>
      </c>
      <c r="H13" s="5" t="n">
        <v>12499999.4999392</v>
      </c>
      <c r="I13" s="5" t="n">
        <v>1178401441.817879</v>
      </c>
      <c r="J13" s="6" t="n">
        <v>0.03600000425292382</v>
      </c>
      <c r="K13" s="6" t="n">
        <v>0.03741931731351311</v>
      </c>
      <c r="L13" t="n">
        <v>8</v>
      </c>
      <c r="M13" s="6" t="n">
        <v>0.0364</v>
      </c>
      <c r="N13" s="6" t="n">
        <v>0.03673977243783771</v>
      </c>
      <c r="O13" s="3" t="n">
        <v>118946.3906805731</v>
      </c>
      <c r="P13" s="3" t="n">
        <v>256310.1322424029</v>
      </c>
    </row>
    <row r="14">
      <c r="A14" t="inlineStr">
        <is>
          <t>2026-09-09</t>
        </is>
      </c>
      <c r="B14" s="5" t="n">
        <v>2460393574.260116</v>
      </c>
      <c r="C14" s="5" t="n">
        <v>0</v>
      </c>
      <c r="D14" s="5" t="n">
        <v>0</v>
      </c>
      <c r="E14" s="5" t="n">
        <v>1277499086.469848</v>
      </c>
      <c r="F14" s="5" t="n">
        <v>0</v>
      </c>
      <c r="G14" s="5" t="n">
        <v>0</v>
      </c>
      <c r="H14" s="5" t="n">
        <v>12499999.4999392</v>
      </c>
      <c r="I14" s="5" t="n">
        <v>1170394488.290329</v>
      </c>
      <c r="J14" s="6" t="n">
        <v>0.03600000425292382</v>
      </c>
      <c r="K14" s="6" t="n">
        <v>0.03741931731351311</v>
      </c>
      <c r="L14" t="n">
        <v>8</v>
      </c>
      <c r="M14" s="6" t="n">
        <v>0.0364</v>
      </c>
      <c r="N14" s="6" t="n">
        <v>0.03673977243783771</v>
      </c>
      <c r="O14" s="3" t="n">
        <v>118125.528393554</v>
      </c>
      <c r="P14" s="3" t="n">
        <v>250374.5287553221</v>
      </c>
    </row>
    <row r="15">
      <c r="A15" t="inlineStr">
        <is>
          <t>2026-09-10</t>
        </is>
      </c>
      <c r="B15" s="5" t="n">
        <v>2425234981.465427</v>
      </c>
      <c r="C15" s="5" t="n">
        <v>0</v>
      </c>
      <c r="D15" s="5" t="n">
        <v>0</v>
      </c>
      <c r="E15" s="5" t="n">
        <v>1252604939.361961</v>
      </c>
      <c r="F15" s="5" t="n">
        <v>0</v>
      </c>
      <c r="G15" s="5" t="n">
        <v>0</v>
      </c>
      <c r="H15" s="5" t="n">
        <v>12499999.4999392</v>
      </c>
      <c r="I15" s="5" t="n">
        <v>1160130042.603527</v>
      </c>
      <c r="J15" s="6" t="n">
        <v>0.03600000425292382</v>
      </c>
      <c r="K15" s="6" t="n">
        <v>0.03741931731351311</v>
      </c>
      <c r="L15" t="n">
        <v>8</v>
      </c>
      <c r="M15" s="6" t="n">
        <v>0.0362</v>
      </c>
      <c r="N15" s="6" t="n">
        <v>0.03660643910450437</v>
      </c>
      <c r="O15" s="3" t="n">
        <v>116707.934192088</v>
      </c>
      <c r="P15" s="3" t="n">
        <v>246404.8195130909</v>
      </c>
    </row>
    <row r="16">
      <c r="A16" t="inlineStr">
        <is>
          <t>2026-09-11</t>
        </is>
      </c>
      <c r="B16" s="5" t="n">
        <v>2403993972.332982</v>
      </c>
      <c r="C16" s="5" t="n">
        <v>0</v>
      </c>
      <c r="D16" s="5" t="n">
        <v>0</v>
      </c>
      <c r="E16" s="5" t="n">
        <v>1202672621.804375</v>
      </c>
      <c r="F16" s="5" t="n">
        <v>0</v>
      </c>
      <c r="G16" s="5" t="n">
        <v>0</v>
      </c>
      <c r="H16" s="5" t="n">
        <v>12349466.27698199</v>
      </c>
      <c r="I16" s="5" t="n">
        <v>1188971884.251625</v>
      </c>
      <c r="J16" s="6" t="n">
        <v>0.03600000425292382</v>
      </c>
      <c r="K16" s="6" t="n">
        <v>0.03741931731351311</v>
      </c>
      <c r="L16" t="n">
        <v>8</v>
      </c>
      <c r="M16" s="6" t="n">
        <v>0.0362</v>
      </c>
      <c r="N16" s="6" t="n">
        <v>0.03660643910450437</v>
      </c>
      <c r="O16" s="3" t="n">
        <v>119664.7616565709</v>
      </c>
      <c r="P16" s="3" t="n">
        <v>244227.2193465533</v>
      </c>
    </row>
    <row r="17">
      <c r="A17" t="inlineStr">
        <is>
          <t>2026-09-12</t>
        </is>
      </c>
      <c r="B17" s="5" t="n">
        <v>2451493972.332982</v>
      </c>
      <c r="C17" s="5" t="n">
        <v>0</v>
      </c>
      <c r="D17" s="5" t="n">
        <v>0</v>
      </c>
      <c r="E17" s="5" t="n">
        <v>1202672621.804375</v>
      </c>
      <c r="F17" s="5" t="n">
        <v>0</v>
      </c>
      <c r="G17" s="5" t="n">
        <v>0</v>
      </c>
      <c r="H17" s="5" t="n">
        <v>12349466.27698199</v>
      </c>
      <c r="I17" s="5" t="n">
        <v>1236471884.251625</v>
      </c>
      <c r="J17" s="6" t="n">
        <v>0.03600000425292382</v>
      </c>
      <c r="K17" s="6" t="n">
        <v>0.03741931731351311</v>
      </c>
      <c r="L17" t="n">
        <v>8</v>
      </c>
      <c r="M17" s="6" t="n">
        <v>0.0362</v>
      </c>
      <c r="N17" s="6" t="n">
        <v>0.03660643910450437</v>
      </c>
      <c r="O17" s="3" t="n">
        <v>124534.3988412062</v>
      </c>
      <c r="P17" s="3" t="n">
        <v>249096.8565311886</v>
      </c>
    </row>
    <row r="18">
      <c r="A18" t="inlineStr">
        <is>
          <t>2026-09-13</t>
        </is>
      </c>
      <c r="B18" s="5" t="n">
        <v>2458627613.681592</v>
      </c>
      <c r="C18" s="5" t="n">
        <v>0</v>
      </c>
      <c r="D18" s="5" t="n">
        <v>0</v>
      </c>
      <c r="E18" s="5" t="n">
        <v>1202672621.804375</v>
      </c>
      <c r="F18" s="5" t="n">
        <v>0</v>
      </c>
      <c r="G18" s="5" t="n">
        <v>0</v>
      </c>
      <c r="H18" s="5" t="n">
        <v>12349466.27698199</v>
      </c>
      <c r="I18" s="5" t="n">
        <v>1243605525.600235</v>
      </c>
      <c r="J18" s="6" t="n">
        <v>0.03600000425292382</v>
      </c>
      <c r="K18" s="6" t="n">
        <v>0.03741931731351311</v>
      </c>
      <c r="L18" t="n">
        <v>8</v>
      </c>
      <c r="M18" s="6" t="n">
        <v>0.0362</v>
      </c>
      <c r="N18" s="6" t="n">
        <v>0.03660643910450437</v>
      </c>
      <c r="O18" s="3" t="n">
        <v>125265.7303185334</v>
      </c>
      <c r="P18" s="3" t="n">
        <v>249828.1880085158</v>
      </c>
    </row>
    <row r="19">
      <c r="A19" t="inlineStr">
        <is>
          <t>2026-09-14</t>
        </is>
      </c>
      <c r="B19" s="5" t="n">
        <v>2404075927.905511</v>
      </c>
      <c r="C19" s="5" t="n">
        <v>0</v>
      </c>
      <c r="D19" s="5" t="n">
        <v>0</v>
      </c>
      <c r="E19" s="5" t="n">
        <v>1152947197.094734</v>
      </c>
      <c r="F19" s="5" t="n">
        <v>0</v>
      </c>
      <c r="G19" s="5" t="n">
        <v>0</v>
      </c>
      <c r="H19" s="5" t="n">
        <v>27349410.47621031</v>
      </c>
      <c r="I19" s="5" t="n">
        <v>1223779320.334566</v>
      </c>
      <c r="J19" s="6" t="n">
        <v>0.03600000425292382</v>
      </c>
      <c r="K19" s="6" t="n">
        <v>0.03741931731351311</v>
      </c>
      <c r="L19" t="n">
        <v>8</v>
      </c>
      <c r="M19" s="6" t="n">
        <v>0.0362</v>
      </c>
      <c r="N19" s="6" t="n">
        <v>0.03660643910450437</v>
      </c>
      <c r="O19" s="3" t="n">
        <v>123233.1739734405</v>
      </c>
      <c r="P19" s="3" t="n">
        <v>244235.6213234686</v>
      </c>
    </row>
    <row r="20">
      <c r="A20" t="inlineStr">
        <is>
          <t>2026-09-15</t>
        </is>
      </c>
      <c r="B20" s="5" t="n">
        <v>2354489153.634897</v>
      </c>
      <c r="C20" s="5" t="n">
        <v>0</v>
      </c>
      <c r="D20" s="5" t="n">
        <v>0</v>
      </c>
      <c r="E20" s="5" t="n">
        <v>1103045374.710737</v>
      </c>
      <c r="F20" s="5" t="n">
        <v>0</v>
      </c>
      <c r="G20" s="5" t="n">
        <v>0</v>
      </c>
      <c r="H20" s="5" t="n">
        <v>27349410.47621031</v>
      </c>
      <c r="I20" s="5" t="n">
        <v>1224094368.44795</v>
      </c>
      <c r="J20" s="6" t="n">
        <v>0.03600000425292382</v>
      </c>
      <c r="K20" s="6" t="n">
        <v>0.03741931731351311</v>
      </c>
      <c r="L20" t="n">
        <v>8</v>
      </c>
      <c r="M20" s="6" t="n">
        <v>0.0364</v>
      </c>
      <c r="N20" s="6" t="n">
        <v>0.03673977243783771</v>
      </c>
      <c r="O20" s="3" t="n">
        <v>123630.7690930489</v>
      </c>
      <c r="P20" s="3" t="n">
        <v>239517.3476038732</v>
      </c>
    </row>
    <row r="21">
      <c r="A21" t="inlineStr">
        <is>
          <t>2026-09-16</t>
        </is>
      </c>
      <c r="B21" s="5" t="n">
        <v>2296340104.090296</v>
      </c>
      <c r="C21" s="5" t="n">
        <v>0</v>
      </c>
      <c r="D21" s="5" t="n">
        <v>0</v>
      </c>
      <c r="E21" s="5" t="n">
        <v>828150477.9916395</v>
      </c>
      <c r="F21" s="5" t="n">
        <v>0</v>
      </c>
      <c r="G21" s="5" t="n">
        <v>0</v>
      </c>
      <c r="H21" s="5" t="n">
        <v>42349410.4742758</v>
      </c>
      <c r="I21" s="5" t="n">
        <v>1425840215.624381</v>
      </c>
      <c r="J21" s="6" t="n">
        <v>0.03600000425292382</v>
      </c>
      <c r="K21" s="6" t="n">
        <v>0.03741931731351311</v>
      </c>
      <c r="L21" t="n">
        <v>8</v>
      </c>
      <c r="M21" s="6" t="n">
        <v>0.0362</v>
      </c>
      <c r="N21" s="6" t="n">
        <v>0.03660643910450437</v>
      </c>
      <c r="O21" s="3" t="n">
        <v>143948.1897474189</v>
      </c>
      <c r="P21" s="3" t="n">
        <v>233190.6871388816</v>
      </c>
    </row>
    <row r="22">
      <c r="A22" t="inlineStr">
        <is>
          <t>2026-09-17</t>
        </is>
      </c>
      <c r="B22" s="5" t="n">
        <v>1758465330.314061</v>
      </c>
      <c r="C22" s="5" t="n">
        <v>0</v>
      </c>
      <c r="D22" s="5" t="n">
        <v>0</v>
      </c>
      <c r="E22" s="5" t="n">
        <v>478207338.4712687</v>
      </c>
      <c r="F22" s="5" t="n">
        <v>0</v>
      </c>
      <c r="G22" s="5" t="n">
        <v>0</v>
      </c>
      <c r="H22" s="5" t="n">
        <v>49999999.50293472</v>
      </c>
      <c r="I22" s="5" t="n">
        <v>1230257992.339858</v>
      </c>
      <c r="J22" s="6" t="n">
        <v>0.03600000425292382</v>
      </c>
      <c r="K22" s="6" t="n">
        <v>0.03741931731351311</v>
      </c>
      <c r="L22" t="n">
        <v>8</v>
      </c>
      <c r="M22" s="6" t="n">
        <v>0.0385</v>
      </c>
      <c r="N22" s="6" t="n">
        <v>0.03741931731351311</v>
      </c>
      <c r="O22" s="3" t="n">
        <v>126124.4224461663</v>
      </c>
      <c r="P22" s="3" t="n">
        <v>180275.5402187219</v>
      </c>
    </row>
    <row r="23">
      <c r="A23" t="inlineStr">
        <is>
          <t>2026-09-18</t>
        </is>
      </c>
      <c r="B23" s="5" t="n">
        <v>1758672643.232933</v>
      </c>
      <c r="C23" s="5" t="n">
        <v>0</v>
      </c>
      <c r="D23" s="5" t="n">
        <v>0</v>
      </c>
      <c r="E23" s="5" t="n">
        <v>478261841.6359231</v>
      </c>
      <c r="F23" s="5" t="n">
        <v>0</v>
      </c>
      <c r="G23" s="5" t="n">
        <v>0</v>
      </c>
      <c r="H23" s="5" t="n">
        <v>49999999.50293472</v>
      </c>
      <c r="I23" s="5" t="n">
        <v>1230410802.094075</v>
      </c>
      <c r="J23" s="6" t="n">
        <v>0.03600000425292382</v>
      </c>
      <c r="K23" s="6" t="n">
        <v>0.03741931731351311</v>
      </c>
      <c r="L23" t="n">
        <v>8</v>
      </c>
      <c r="M23" s="6" t="n">
        <v>0.0385</v>
      </c>
      <c r="N23" s="6" t="n">
        <v>0.03741931731351311</v>
      </c>
      <c r="O23" s="3" t="n">
        <v>126140.0883000887</v>
      </c>
      <c r="P23" s="3" t="n">
        <v>180296.7936650081</v>
      </c>
    </row>
    <row r="24">
      <c r="A24" t="inlineStr">
        <is>
          <t>2026-09-19</t>
        </is>
      </c>
      <c r="B24" s="5" t="n">
        <v>1758672643.232933</v>
      </c>
      <c r="C24" s="5" t="n">
        <v>0</v>
      </c>
      <c r="D24" s="5" t="n">
        <v>0</v>
      </c>
      <c r="E24" s="5" t="n">
        <v>478261841.6359231</v>
      </c>
      <c r="F24" s="5" t="n">
        <v>0</v>
      </c>
      <c r="G24" s="5" t="n">
        <v>0</v>
      </c>
      <c r="H24" s="5" t="n">
        <v>49999999.50293472</v>
      </c>
      <c r="I24" s="5" t="n">
        <v>1230410802.094075</v>
      </c>
      <c r="J24" s="6" t="n">
        <v>0.03600000425292382</v>
      </c>
      <c r="K24" s="6" t="n">
        <v>0.03741931731351311</v>
      </c>
      <c r="L24" t="n">
        <v>8</v>
      </c>
      <c r="M24" s="6" t="n">
        <v>0.0385</v>
      </c>
      <c r="N24" s="6" t="n">
        <v>0.03741931731351311</v>
      </c>
      <c r="O24" s="3" t="n">
        <v>126140.0883000887</v>
      </c>
      <c r="P24" s="3" t="n">
        <v>180296.7936650081</v>
      </c>
    </row>
    <row r="25">
      <c r="A25" t="inlineStr">
        <is>
          <t>2026-09-20</t>
        </is>
      </c>
      <c r="B25" s="5" t="n">
        <v>1758672643.232933</v>
      </c>
      <c r="C25" s="5" t="n">
        <v>0</v>
      </c>
      <c r="D25" s="5" t="n">
        <v>0</v>
      </c>
      <c r="E25" s="5" t="n">
        <v>478261841.6359231</v>
      </c>
      <c r="F25" s="5" t="n">
        <v>0</v>
      </c>
      <c r="G25" s="5" t="n">
        <v>0</v>
      </c>
      <c r="H25" s="5" t="n">
        <v>49999999.50293472</v>
      </c>
      <c r="I25" s="5" t="n">
        <v>1230410802.094075</v>
      </c>
      <c r="J25" s="6" t="n">
        <v>0.03600000425292382</v>
      </c>
      <c r="K25" s="6" t="n">
        <v>0.03741931731351311</v>
      </c>
      <c r="L25" t="n">
        <v>8</v>
      </c>
      <c r="M25" s="6" t="n">
        <v>0.0385</v>
      </c>
      <c r="N25" s="6" t="n">
        <v>0.03741931731351311</v>
      </c>
      <c r="O25" s="3" t="n">
        <v>126140.0883000887</v>
      </c>
      <c r="P25" s="3" t="n">
        <v>180296.7936650081</v>
      </c>
    </row>
    <row r="26">
      <c r="A26" t="inlineStr">
        <is>
          <t>2026-09-21</t>
        </is>
      </c>
      <c r="B26" s="5" t="n">
        <v>1766730250.446732</v>
      </c>
      <c r="C26" s="5" t="n">
        <v>0</v>
      </c>
      <c r="D26" s="5" t="n">
        <v>0</v>
      </c>
      <c r="E26" s="5" t="n">
        <v>453400872.6759484</v>
      </c>
      <c r="F26" s="5" t="n">
        <v>0</v>
      </c>
      <c r="G26" s="5" t="n">
        <v>0</v>
      </c>
      <c r="H26" s="5" t="n">
        <v>49999999.50293472</v>
      </c>
      <c r="I26" s="5" t="n">
        <v>1263329378.267849</v>
      </c>
      <c r="J26" s="6" t="n">
        <v>0.03600000425292382</v>
      </c>
      <c r="K26" s="6" t="n">
        <v>0.03741931731351311</v>
      </c>
      <c r="L26" t="n">
        <v>8</v>
      </c>
      <c r="M26" s="6" t="n">
        <v>0.0385</v>
      </c>
      <c r="N26" s="6" t="n">
        <v>0.03741931731351311</v>
      </c>
      <c r="O26" s="3" t="n">
        <v>129514.8571969531</v>
      </c>
      <c r="P26" s="3" t="n">
        <v>181122.8489009555</v>
      </c>
    </row>
    <row r="27">
      <c r="A27" t="inlineStr">
        <is>
          <t>2026-09-22</t>
        </is>
      </c>
      <c r="B27" s="5" t="n">
        <v>1732290787.855072</v>
      </c>
      <c r="C27" s="5" t="n">
        <v>0</v>
      </c>
      <c r="D27" s="5" t="n">
        <v>0</v>
      </c>
      <c r="E27" s="5" t="n">
        <v>428443877.0686115</v>
      </c>
      <c r="F27" s="5" t="n">
        <v>0</v>
      </c>
      <c r="G27" s="5" t="n">
        <v>0</v>
      </c>
      <c r="H27" s="5" t="n">
        <v>49999999.49992944</v>
      </c>
      <c r="I27" s="5" t="n">
        <v>1253846911.286531</v>
      </c>
      <c r="J27" s="6" t="n">
        <v>0.03600000425292382</v>
      </c>
      <c r="K27" s="6" t="n">
        <v>0.03741931731351311</v>
      </c>
      <c r="L27" t="n">
        <v>8</v>
      </c>
      <c r="M27" s="6" t="n">
        <v>0.0387</v>
      </c>
      <c r="N27" s="6" t="n">
        <v>0.03741931731351311</v>
      </c>
      <c r="O27" s="3" t="n">
        <v>128542.7272219151</v>
      </c>
      <c r="P27" s="3" t="n">
        <v>177592.1607397933</v>
      </c>
    </row>
    <row r="28">
      <c r="A28" t="inlineStr">
        <is>
          <t>2026-09-23</t>
        </is>
      </c>
      <c r="B28" s="5" t="n">
        <v>1742267928.563433</v>
      </c>
      <c r="C28" s="5" t="n">
        <v>0</v>
      </c>
      <c r="D28" s="5" t="n">
        <v>0</v>
      </c>
      <c r="E28" s="5" t="n">
        <v>428488742.6539316</v>
      </c>
      <c r="F28" s="5" t="n">
        <v>0</v>
      </c>
      <c r="G28" s="5" t="n">
        <v>0</v>
      </c>
      <c r="H28" s="5" t="n">
        <v>49999999.49992944</v>
      </c>
      <c r="I28" s="5" t="n">
        <v>1263779186.409572</v>
      </c>
      <c r="J28" s="6" t="n">
        <v>0.03600000425292382</v>
      </c>
      <c r="K28" s="6" t="n">
        <v>0.03741931731351311</v>
      </c>
      <c r="L28" t="n">
        <v>8</v>
      </c>
      <c r="M28" s="6" t="n">
        <v>0.0387</v>
      </c>
      <c r="N28" s="6" t="n">
        <v>0.03741931731351311</v>
      </c>
      <c r="O28" s="3" t="n">
        <v>129560.9709328033</v>
      </c>
      <c r="P28" s="3" t="n">
        <v>178615.004011157</v>
      </c>
    </row>
    <row r="29">
      <c r="A29" t="inlineStr">
        <is>
          <t>2026-09-24</t>
        </is>
      </c>
      <c r="B29" s="5" t="n">
        <v>1746908345.380655</v>
      </c>
      <c r="C29" s="5" t="n">
        <v>0</v>
      </c>
      <c r="D29" s="5" t="n">
        <v>0</v>
      </c>
      <c r="E29" s="5" t="n">
        <v>428520425.1043783</v>
      </c>
      <c r="F29" s="5" t="n">
        <v>0</v>
      </c>
      <c r="G29" s="5" t="n">
        <v>0</v>
      </c>
      <c r="H29" s="5" t="n">
        <v>49999999.49992944</v>
      </c>
      <c r="I29" s="5" t="n">
        <v>1268387920.776347</v>
      </c>
      <c r="J29" s="6" t="n">
        <v>0.03600000425292382</v>
      </c>
      <c r="K29" s="6" t="n">
        <v>0.03741931731351311</v>
      </c>
      <c r="L29" t="n">
        <v>8</v>
      </c>
      <c r="M29" s="6" t="n">
        <v>0.0388</v>
      </c>
      <c r="N29" s="6" t="n">
        <v>0.03741931731351311</v>
      </c>
      <c r="O29" s="3" t="n">
        <v>130033.4522853624</v>
      </c>
      <c r="P29" s="3" t="n">
        <v>179090.7334066381</v>
      </c>
    </row>
    <row r="30">
      <c r="A30" t="inlineStr">
        <is>
          <t>2026-09-25</t>
        </is>
      </c>
      <c r="B30" s="5" t="n">
        <v>1755441061.487794</v>
      </c>
      <c r="C30" s="5" t="n">
        <v>0</v>
      </c>
      <c r="D30" s="5" t="n">
        <v>0</v>
      </c>
      <c r="E30" s="5" t="n">
        <v>428555179.9442062</v>
      </c>
      <c r="F30" s="5" t="n">
        <v>0</v>
      </c>
      <c r="G30" s="5" t="n">
        <v>0</v>
      </c>
      <c r="H30" s="5" t="n">
        <v>64999999.49992924</v>
      </c>
      <c r="I30" s="5" t="n">
        <v>1261885882.043658</v>
      </c>
      <c r="J30" s="6" t="n">
        <v>0.03600000425292382</v>
      </c>
      <c r="K30" s="6" t="n">
        <v>0.03741931731351311</v>
      </c>
      <c r="L30" t="n">
        <v>8</v>
      </c>
      <c r="M30" s="6" t="n">
        <v>0.039</v>
      </c>
      <c r="N30" s="6" t="n">
        <v>0.03741931731351311</v>
      </c>
      <c r="O30" s="3" t="n">
        <v>129366.87187297</v>
      </c>
      <c r="P30" s="3" t="n">
        <v>179965.496178033</v>
      </c>
    </row>
    <row r="31">
      <c r="A31" t="inlineStr">
        <is>
          <t>2026-09-26</t>
        </is>
      </c>
      <c r="B31" s="5" t="n">
        <v>1770437261.746219</v>
      </c>
      <c r="C31" s="5" t="n">
        <v>0</v>
      </c>
      <c r="D31" s="5" t="n">
        <v>0</v>
      </c>
      <c r="E31" s="5" t="n">
        <v>428555179.9442062</v>
      </c>
      <c r="F31" s="5" t="n">
        <v>0</v>
      </c>
      <c r="G31" s="5" t="n">
        <v>0</v>
      </c>
      <c r="H31" s="5" t="n">
        <v>79996199.75835411</v>
      </c>
      <c r="I31" s="5" t="n">
        <v>1261885882.043659</v>
      </c>
      <c r="J31" s="6" t="n">
        <v>0.03600000425292382</v>
      </c>
      <c r="K31" s="6" t="n">
        <v>0.03741931731351311</v>
      </c>
      <c r="L31" t="n">
        <v>8</v>
      </c>
      <c r="M31" s="6" t="n">
        <v>0.039</v>
      </c>
      <c r="N31" s="6" t="n">
        <v>0.03741931731351311</v>
      </c>
      <c r="O31" s="3" t="n">
        <v>129366.87187297</v>
      </c>
      <c r="P31" s="3" t="n">
        <v>181502.8867971206</v>
      </c>
    </row>
    <row r="32">
      <c r="A32" t="inlineStr">
        <is>
          <t>2026-09-27</t>
        </is>
      </c>
      <c r="B32" s="5" t="n">
        <v>1771703742.498216</v>
      </c>
      <c r="C32" s="5" t="n">
        <v>0</v>
      </c>
      <c r="D32" s="5" t="n">
        <v>0</v>
      </c>
      <c r="E32" s="5" t="n">
        <v>428555179.9442062</v>
      </c>
      <c r="F32" s="5" t="n">
        <v>0</v>
      </c>
      <c r="G32" s="5" t="n">
        <v>0</v>
      </c>
      <c r="H32" s="5" t="n">
        <v>79996199.75835411</v>
      </c>
      <c r="I32" s="5" t="n">
        <v>1263152362.795656</v>
      </c>
      <c r="J32" s="6" t="n">
        <v>0.03600000425292382</v>
      </c>
      <c r="K32" s="6" t="n">
        <v>0.03741931731351311</v>
      </c>
      <c r="L32" t="n">
        <v>8</v>
      </c>
      <c r="M32" s="6" t="n">
        <v>0.039</v>
      </c>
      <c r="N32" s="6" t="n">
        <v>0.03741931731351311</v>
      </c>
      <c r="O32" s="3" t="n">
        <v>129496.7098048342</v>
      </c>
      <c r="P32" s="3" t="n">
        <v>181632.7247289848</v>
      </c>
    </row>
    <row r="33">
      <c r="A33" t="inlineStr">
        <is>
          <t>2026-09-28</t>
        </is>
      </c>
      <c r="B33" s="5" t="n">
        <v>1777410276.740147</v>
      </c>
      <c r="C33" s="5" t="n">
        <v>0</v>
      </c>
      <c r="D33" s="5" t="n">
        <v>0</v>
      </c>
      <c r="E33" s="5" t="n">
        <v>428678718.9430575</v>
      </c>
      <c r="F33" s="5" t="n">
        <v>0</v>
      </c>
      <c r="G33" s="5" t="n">
        <v>0</v>
      </c>
      <c r="H33" s="5" t="n">
        <v>79996199.75835411</v>
      </c>
      <c r="I33" s="5" t="n">
        <v>1268735358.038735</v>
      </c>
      <c r="J33" s="6" t="n">
        <v>0.03600000425292382</v>
      </c>
      <c r="K33" s="6" t="n">
        <v>0.03741931731351311</v>
      </c>
      <c r="L33" t="n">
        <v>8</v>
      </c>
      <c r="M33" s="6" t="n">
        <v>0.039</v>
      </c>
      <c r="N33" s="6" t="n">
        <v>0.03741931731351311</v>
      </c>
      <c r="O33" s="3" t="n">
        <v>130069.0710940414</v>
      </c>
      <c r="P33" s="3" t="n">
        <v>182217.7510729828</v>
      </c>
    </row>
    <row r="34">
      <c r="A34" t="inlineStr">
        <is>
          <t>2026-09-29</t>
        </is>
      </c>
      <c r="B34" s="5" t="n">
        <v>1798649612.741545</v>
      </c>
      <c r="C34" s="5" t="n">
        <v>0</v>
      </c>
      <c r="D34" s="5" t="n">
        <v>0</v>
      </c>
      <c r="E34" s="5" t="n">
        <v>428722277.2711748</v>
      </c>
      <c r="F34" s="5" t="n">
        <v>0</v>
      </c>
      <c r="G34" s="5" t="n">
        <v>0</v>
      </c>
      <c r="H34" s="5" t="n">
        <v>99999999.49992901</v>
      </c>
      <c r="I34" s="5" t="n">
        <v>1269927335.970441</v>
      </c>
      <c r="J34" s="6" t="n">
        <v>0.03600000425292382</v>
      </c>
      <c r="K34" s="6" t="n">
        <v>0.03741931731351311</v>
      </c>
      <c r="L34" t="n">
        <v>8</v>
      </c>
      <c r="M34" s="6" t="n">
        <v>0.0388</v>
      </c>
      <c r="N34" s="6" t="n">
        <v>0.03741931731351311</v>
      </c>
      <c r="O34" s="3" t="n">
        <v>130191.271095294</v>
      </c>
      <c r="P34" s="3" t="n">
        <v>184395.1797123379</v>
      </c>
    </row>
    <row r="35">
      <c r="A35" t="inlineStr">
        <is>
          <t>2026-09-30</t>
        </is>
      </c>
      <c r="B35" s="5" t="n">
        <v>1813414247.230614</v>
      </c>
      <c r="C35" s="5" t="n">
        <v>0</v>
      </c>
      <c r="D35" s="5" t="n">
        <v>0</v>
      </c>
      <c r="E35" s="5" t="n">
        <v>428783732.5412791</v>
      </c>
      <c r="F35" s="5" t="n">
        <v>0</v>
      </c>
      <c r="G35" s="5" t="n">
        <v>0</v>
      </c>
      <c r="H35" s="5" t="n">
        <v>99999999.49992901</v>
      </c>
      <c r="I35" s="5" t="n">
        <v>1284630515.189406</v>
      </c>
      <c r="J35" s="6" t="n">
        <v>0.03600000425292382</v>
      </c>
      <c r="K35" s="6" t="n">
        <v>0.03741931731351311</v>
      </c>
      <c r="L35" t="n">
        <v>8</v>
      </c>
      <c r="M35" s="6" t="n">
        <v>0.039</v>
      </c>
      <c r="N35" s="6" t="n">
        <v>0.03741931731351311</v>
      </c>
      <c r="O35" s="3" t="n">
        <v>131698.6215849156</v>
      </c>
      <c r="P35" s="3" t="n">
        <v>185908.8305149805</v>
      </c>
    </row>
    <row r="37">
      <c r="A37" s="7" t="inlineStr">
        <is>
          <t>Σ daily charges</t>
        </is>
      </c>
      <c r="O37" s="10" t="n">
        <v>3754292.984290455</v>
      </c>
      <c r="P37" s="10" t="n">
        <v>6580178.736728188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2" customWidth="1" min="3" max="3"/>
    <col width="46" customWidth="1" min="4" max="4"/>
    <col width="20" customWidth="1" min="5" max="5"/>
    <col width="18" customWidth="1" min="6" max="6"/>
    <col width="18" customWidth="1" min="7" max="7"/>
    <col width="16" customWidth="1" min="8" max="8"/>
    <col width="22" customWidth="1" min="9" max="9"/>
  </cols>
  <sheetData>
    <row r="1">
      <c r="A1" s="1" t="inlineStr">
        <is>
          <t>Off-protocol holdings (tracked, not in prime revenue)</t>
        </is>
      </c>
    </row>
    <row r="3">
      <c r="A3" t="inlineStr">
        <is>
          <t>These positions sit with external counterparties (e.g. OOB OTC venues, off-protocol custodians). The balances below are visible for monthly-NAV reporting only — they do NOT contribute to prime_agent_revenue or sky_revenue. Any realized gain or loss on the round-trip is booked at the anchor venue when the cash settles back at the ALM proxy.</t>
        </is>
      </c>
    </row>
    <row r="5">
      <c r="A5" s="2" t="inlineStr">
        <is>
          <t>Venue</t>
        </is>
      </c>
      <c r="B5" s="2" t="inlineStr">
        <is>
          <t>Label</t>
        </is>
      </c>
      <c r="C5" s="2" t="inlineStr">
        <is>
          <t>Chain</t>
        </is>
      </c>
      <c r="D5" s="2" t="inlineStr">
        <is>
          <t>Counterparty (paired_source)</t>
        </is>
      </c>
      <c r="E5" s="2" t="inlineStr">
        <is>
          <t>Anchor venue (paired_with)</t>
        </is>
      </c>
      <c r="F5" s="2" t="inlineStr">
        <is>
          <t>Outstanding SoM (USD)</t>
        </is>
      </c>
      <c r="G5" s="2" t="inlineStr">
        <is>
          <t>Outstanding EoM (USD)</t>
        </is>
      </c>
      <c r="H5" s="2" t="inlineStr">
        <is>
          <t>Δ over period</t>
        </is>
      </c>
      <c r="I5" s="2" t="inlineStr">
        <is>
          <t>Status</t>
        </is>
      </c>
    </row>
    <row r="6">
      <c r="A6" t="inlineStr">
        <is>
          <t>E33</t>
        </is>
      </c>
      <c r="B6" t="inlineStr">
        <is>
          <t>Uniswap V3 AUSD/USDC pool (Monad, NFT positions)</t>
        </is>
      </c>
      <c r="C6" t="inlineStr">
        <is>
          <t>monad</t>
        </is>
      </c>
      <c r="F6" s="5" t="n">
        <v>0</v>
      </c>
      <c r="G6" s="5" t="n">
        <v>0</v>
      </c>
      <c r="H6" s="5" t="n">
        <v>0</v>
      </c>
      <c r="I6" t="inlineStr">
        <is>
          <t>—</t>
        </is>
      </c>
    </row>
    <row r="7">
      <c r="A7" t="inlineStr">
        <is>
          <t>E14</t>
        </is>
      </c>
      <c r="B7" t="inlineStr">
        <is>
          <t>AUSD raw (ALM idle)</t>
        </is>
      </c>
      <c r="C7" t="inlineStr">
        <is>
          <t>ethereum</t>
        </is>
      </c>
      <c r="F7" s="5" t="n">
        <v>0</v>
      </c>
      <c r="G7" s="5" t="n">
        <v>0</v>
      </c>
      <c r="H7" s="5" t="n">
        <v>0</v>
      </c>
      <c r="I7" t="inlineStr">
        <is>
          <t>—</t>
        </is>
      </c>
    </row>
    <row r="8">
      <c r="A8" t="inlineStr">
        <is>
          <t>E36</t>
        </is>
      </c>
      <c r="B8" t="inlineStr">
        <is>
          <t>OOB principal via 0xd94f (relay to Monad ALM EOA → AUSD acquisition)</t>
        </is>
      </c>
      <c r="C8" t="inlineStr">
        <is>
          <t>ethereum</t>
        </is>
      </c>
      <c r="D8" t="inlineStr">
        <is>
          <t>0x94b398acb2fce988871218221ea6a4a2b26cccbc</t>
        </is>
      </c>
      <c r="E8" t="inlineStr">
        <is>
          <t>E14</t>
        </is>
      </c>
      <c r="F8" s="5" t="n">
        <v>-119746.468785</v>
      </c>
      <c r="G8" s="5" t="n">
        <v>-119746.468785</v>
      </c>
      <c r="H8" s="5" t="n">
        <v>0</v>
      </c>
      <c r="I8" t="inlineStr">
        <is>
          <t>—</t>
        </is>
      </c>
    </row>
    <row r="9">
      <c r="A9" t="inlineStr">
        <is>
          <t>E25</t>
        </is>
      </c>
      <c r="B9" t="inlineStr">
        <is>
          <t>Grove x Steakhouse High Yield AUSD (Monad, Morpho 4626)</t>
        </is>
      </c>
      <c r="C9" t="inlineStr">
        <is>
          <t>monad</t>
        </is>
      </c>
      <c r="F9" s="5" t="n">
        <v>0</v>
      </c>
      <c r="G9" s="5" t="n">
        <v>0</v>
      </c>
      <c r="H9" s="5" t="n">
        <v>0</v>
      </c>
      <c r="I9" t="inlineStr">
        <is>
          <t>—</t>
        </is>
      </c>
    </row>
    <row r="10">
      <c r="A10" t="inlineStr">
        <is>
          <t>E34</t>
        </is>
      </c>
      <c r="B10" t="inlineStr">
        <is>
          <t>AUSD raw (Monad, alt holder idle)</t>
        </is>
      </c>
      <c r="C10" t="inlineStr">
        <is>
          <t>monad</t>
        </is>
      </c>
      <c r="F10" s="5" t="n">
        <v>0</v>
      </c>
      <c r="G10" s="5" t="n">
        <v>0</v>
      </c>
      <c r="H10" s="5" t="n">
        <v>0</v>
      </c>
      <c r="I10" t="inlineStr">
        <is>
          <t>—</t>
        </is>
      </c>
    </row>
    <row r="11">
      <c r="A11" t="inlineStr">
        <is>
          <t>E35</t>
        </is>
      </c>
      <c r="B11" t="inlineStr">
        <is>
          <t>USDC raw (Monad, alt holder idle)</t>
        </is>
      </c>
      <c r="C11" t="inlineStr">
        <is>
          <t>monad</t>
        </is>
      </c>
      <c r="F11" s="5" t="n">
        <v>152288.12728</v>
      </c>
      <c r="G11" s="5" t="n">
        <v>152288.12728</v>
      </c>
      <c r="H11" s="5" t="n">
        <v>0</v>
      </c>
      <c r="I11" t="inlineStr">
        <is>
          <t>outstanding (no change)</t>
        </is>
      </c>
    </row>
    <row r="13">
      <c r="A13" t="inlineStr">
        <is>
          <t>Note: realized gain on returns (the round-trip spread) is recognized as revenue at the anchor venue via the paired-principal-cap classifier — see provenance.json venue_breakdown for the anchor's actual_revenue / external_revenue split.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2026-10-01T15:36:06Z</dcterms:created>
  <dcterms:modified xsi:type="dcterms:W3CDTF">2026-10-01T15:36:07Z</dcterms:modified>
</cp:coreProperties>
</file>