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3635291.947968574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>
        <is>
          <t>+ distribution_rewards (settle-dr-dune)</t>
        </is>
      </c>
      <c r="B6" s="3" t="n">
        <v>20518.52</v>
      </c>
    </row>
    <row r="7">
      <c r="A7" t="inlineStr"/>
      <c r="B7" s="4" t="n">
        <v>3727771.065050082</v>
      </c>
    </row>
    <row r="9">
      <c r="A9" s="2" t="inlineStr">
        <is>
          <t>Sky side</t>
        </is>
      </c>
      <c r="B9" s="2" t="inlineStr">
        <is>
          <t>USD</t>
        </is>
      </c>
    </row>
    <row r="10">
      <c r="A10" t="inlineStr">
        <is>
          <t>CoF on utilized (BR × Net_Subs)</t>
        </is>
      </c>
      <c r="B10" s="3" t="n">
        <v>3345973.190821985</v>
      </c>
    </row>
    <row r="11">
      <c r="A11" t="inlineStr">
        <is>
          <t>+ SDE revenue (Sky-Direct, full to Sky)</t>
        </is>
      </c>
      <c r="B11" s="3" t="n">
        <v>5242531.28537233</v>
      </c>
    </row>
    <row r="12">
      <c r="A12" t="inlineStr"/>
      <c r="B12" s="4" t="n">
        <v>8588504.476194315</v>
      </c>
    </row>
    <row r="14">
      <c r="A14" s="2" t="inlineStr">
        <is>
          <t>Sky Revenue (max) — BR × full ilk debt, no deductions</t>
        </is>
      </c>
      <c r="B14" s="2" t="inlineStr">
        <is>
          <t>USD</t>
        </is>
      </c>
    </row>
    <row r="15">
      <c r="A15" t="inlineStr">
        <is>
          <t>CoF on Net_Subs (actual BR × utilized)</t>
        </is>
      </c>
      <c r="B15" s="3" t="n">
        <v>3345973.190821985</v>
      </c>
    </row>
    <row r="16">
      <c r="A16" t="inlineStr">
        <is>
          <t>reduction from idle/SDE deductions</t>
        </is>
      </c>
      <c r="B16" s="3" t="n">
        <v>-6188075.871421805</v>
      </c>
    </row>
    <row r="17">
      <c r="A17" t="inlineStr"/>
      <c r="B17" s="4" t="n">
        <v>9534049.062243789</v>
      </c>
    </row>
    <row r="19">
      <c r="A19" s="2" t="inlineStr">
        <is>
          <t>Comparison (Grove-style "Profit to Grove")</t>
        </is>
      </c>
      <c r="B19" s="2" t="inlineStr">
        <is>
          <t>USD</t>
        </is>
      </c>
    </row>
    <row r="20">
      <c r="A20" t="inlineStr">
        <is>
          <t>prime_agent_revenue</t>
        </is>
      </c>
      <c r="B20" s="3" t="n">
        <v>3635291.947968574</v>
      </c>
    </row>
    <row r="21">
      <c r="A21" t="inlineStr">
        <is>
          <t>− CoF (deducted per-venue in display)</t>
        </is>
      </c>
      <c r="B21" s="3" t="n">
        <v>-3345973.190821985</v>
      </c>
    </row>
    <row r="22">
      <c r="A22" t="inlineStr"/>
      <c r="B22" s="4" t="n">
        <v>289318.7571465889</v>
      </c>
    </row>
    <row r="24">
      <c r="A24" t="inlineStr">
        <is>
          <t>Period</t>
        </is>
      </c>
      <c r="B24" t="inlineStr">
        <is>
          <t>2026-05-01 → 2026-05-31 (31 days)</t>
        </is>
      </c>
    </row>
    <row r="25">
      <c r="A25" t="inlineStr">
        <is>
          <t>Pin blocks</t>
        </is>
      </c>
      <c r="B25" t="inlineStr">
        <is>
          <t>avalanche_c=86865826, base=46741326, ethereum=25218797, monad=78309381, plume=71786194</t>
        </is>
      </c>
    </row>
    <row r="26">
      <c r="A26" t="inlineStr">
        <is>
          <t>Generated</t>
        </is>
      </c>
      <c r="B26" t="inlineStr">
        <is>
          <t>2026-07-03T06:32:37+00:00</t>
        </is>
      </c>
    </row>
    <row r="27">
      <c r="A27" t="inlineStr">
        <is>
          <t>Pipeline</t>
        </is>
      </c>
      <c r="B27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812760.4168600863</v>
      </c>
      <c r="O4" s="5" t="n">
        <v>812760.4168600863</v>
      </c>
      <c r="P4" s="5" t="n">
        <v>180711.1434457497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791148.3749411706</v>
      </c>
      <c r="O5" s="5" t="n">
        <v>791148.3749411706</v>
      </c>
      <c r="P5" s="5" t="n">
        <v>-536350.1743086454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405752.8012305104</v>
      </c>
      <c r="O6" s="5" t="n">
        <v>405752.8012305104</v>
      </c>
      <c r="P6" s="5" t="n">
        <v>90216.07246813549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319694.5456686299</v>
      </c>
      <c r="O7" s="5" t="n">
        <v>319694.5456686299</v>
      </c>
      <c r="P7" s="5" t="n">
        <v>133410.7543313701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237130.8446429374</v>
      </c>
      <c r="O8" s="5" t="n">
        <v>237130.8446429374</v>
      </c>
      <c r="P8" s="5" t="n">
        <v>32202.22007501045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228598.1940842861</v>
      </c>
      <c r="O9" s="5" t="n">
        <v>228598.1940842861</v>
      </c>
      <c r="P9" s="5" t="n">
        <v>43976.28276240663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157474.3377069666</v>
      </c>
      <c r="O10" s="5" t="n">
        <v>157474.3377069666</v>
      </c>
      <c r="P10" s="5" t="n">
        <v>231635.5622930334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123468.7297308713</v>
      </c>
      <c r="O11" s="5" t="n">
        <v>123468.7297308713</v>
      </c>
      <c r="P11" s="5" t="n">
        <v>-171982.5327575893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78818.89194909131</v>
      </c>
      <c r="O12" s="5" t="n">
        <v>78818.89194909131</v>
      </c>
      <c r="P12" s="5" t="n">
        <v>-67606.5440010913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78740.83518804425</v>
      </c>
      <c r="O13" s="5" t="n">
        <v>78740.83518804425</v>
      </c>
      <c r="P13" s="5" t="n">
        <v>-78461.03364115024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78681.63677221791</v>
      </c>
      <c r="O14" s="5" t="n">
        <v>78681.63677221791</v>
      </c>
      <c r="P14" s="5" t="n">
        <v>-4615.488652178891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17995.42932333451</v>
      </c>
      <c r="O15" s="5" t="n">
        <v>17995.42932333451</v>
      </c>
      <c r="P15" s="5" t="n">
        <v>298.7740985327452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5.6e-09</v>
      </c>
      <c r="I16" s="5" t="n">
        <v>0</v>
      </c>
      <c r="J16" s="5" t="n">
        <v>5.6e-09</v>
      </c>
      <c r="K16" s="5" t="n">
        <v>0</v>
      </c>
      <c r="L16" s="5" t="n">
        <v>3966608.499661189</v>
      </c>
      <c r="M16" s="6" t="n">
        <v>1</v>
      </c>
      <c r="N16" s="5" t="n">
        <v>12492.78092853941</v>
      </c>
      <c r="O16" s="5" t="n">
        <v>12492.78092853941</v>
      </c>
      <c r="P16" s="5" t="n">
        <v>-12492.7809285338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3183.658523252279</v>
      </c>
      <c r="O17" s="5" t="n">
        <v>3183.658523252279</v>
      </c>
      <c r="P17" s="5" t="n">
        <v>487.2945791878016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31.71211550318614</v>
      </c>
      <c r="O18" s="5" t="n">
        <v>31.71211550318614</v>
      </c>
      <c r="P18" s="5" t="n">
        <v>-31.71211550318614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0.3672154333303549</v>
      </c>
      <c r="F19" s="5" t="n">
        <v>0.3678698313420545</v>
      </c>
      <c r="G19" s="5" t="n">
        <v>0.000654398011699573</v>
      </c>
      <c r="H19" s="5" t="n">
        <v>0.000654398011699573</v>
      </c>
      <c r="I19" s="5" t="n">
        <v>0</v>
      </c>
      <c r="J19" s="5" t="n">
        <v>0.000654398011699573</v>
      </c>
      <c r="K19" s="5" t="n">
        <v>0</v>
      </c>
      <c r="L19" s="5" t="n">
        <v>0.3672154333303549</v>
      </c>
      <c r="M19" s="6" t="n">
        <v>1</v>
      </c>
      <c r="N19" s="5" t="n">
        <v>0.001156540143189488</v>
      </c>
      <c r="O19" s="5" t="n">
        <v>0.001156540143189488</v>
      </c>
      <c r="P19" s="5" t="n">
        <v>-0.0005021421314899149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3.149486754139332e-09</v>
      </c>
      <c r="O20" s="5" t="n">
        <v>3.149486754139332e-09</v>
      </c>
      <c r="P20" s="5" t="n">
        <v>-3.149486754139332e-09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49596</v>
      </c>
      <c r="G23" s="5" t="n">
        <v>49596</v>
      </c>
      <c r="H23" s="5" t="n">
        <v>49596</v>
      </c>
      <c r="I23" s="5" t="n">
        <v>0</v>
      </c>
      <c r="J23" s="5" t="n">
        <v>49596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49596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1070796625.540224</v>
      </c>
    </row>
    <row r="6">
      <c r="A6" t="inlineStr">
        <is>
          <t xml:space="preserve">  — first $1B (subsidised tranche)</t>
        </is>
      </c>
      <c r="B6" s="5" t="n">
        <v>997432546.824102</v>
      </c>
    </row>
    <row r="7">
      <c r="A7" t="inlineStr">
        <is>
          <t xml:space="preserve">  — excess (full base-rate tranche)</t>
        </is>
      </c>
      <c r="B7" s="5" t="n">
        <v>73364078.71612211</v>
      </c>
    </row>
    <row r="8">
      <c r="A8" t="inlineStr">
        <is>
          <t>Base rate (BR = SSR + 30bps), period avg</t>
        </is>
      </c>
      <c r="B8" s="6" t="n">
        <v>0.03951024672617314</v>
      </c>
    </row>
    <row r="9">
      <c r="A9" t="inlineStr">
        <is>
          <t>Reference rate (tbill_3m), period avg</t>
        </is>
      </c>
      <c r="B9" s="6" t="n">
        <v>0.03689032258064516</v>
      </c>
    </row>
    <row r="10">
      <c r="A10" t="inlineStr">
        <is>
          <t>Subsidised rate (BR*), period avg</t>
        </is>
      </c>
      <c r="B10" s="6" t="n">
        <v>0.03732734186107307</v>
      </c>
    </row>
    <row r="11">
      <c r="A11" s="7" t="inlineStr">
        <is>
          <t>Effective blended rate charged</t>
        </is>
      </c>
      <c r="B11" s="8" t="n">
        <v>0.03747483383441957</v>
      </c>
    </row>
    <row r="12">
      <c r="A12" s="7" t="inlineStr">
        <is>
          <t>Diff vs base rate (bps)</t>
        </is>
      </c>
      <c r="B12" s="9" t="n">
        <v>-20.35412891753571</v>
      </c>
    </row>
    <row r="13">
      <c r="A13" s="7" t="inlineStr">
        <is>
          <t>Subsidy benefit to prime (USD)</t>
        </is>
      </c>
      <c r="B13" s="10" t="n">
        <v>178277.9868267714</v>
      </c>
    </row>
    <row r="15">
      <c r="A15" t="inlineStr">
        <is>
          <t>CoF at full base rate (no subsidy)</t>
        </is>
      </c>
      <c r="B15" s="3" t="n">
        <v>3524251.177648756</v>
      </c>
    </row>
    <row r="16">
      <c r="A16" t="inlineStr">
        <is>
          <t xml:space="preserve">  − actual CoF (subsidy on first tranche)</t>
        </is>
      </c>
      <c r="B16" s="3" t="n">
        <v>3345973.190821985</v>
      </c>
    </row>
    <row r="17">
      <c r="A17" s="7" t="inlineStr">
        <is>
          <t xml:space="preserve">  = subsidy benefit</t>
        </is>
      </c>
      <c r="B17" s="10" t="n">
        <v>178277.9868267714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997432546.824102</v>
      </c>
      <c r="C20" s="3" t="n">
        <v>3104672.504638677</v>
      </c>
    </row>
    <row r="21">
      <c r="A21" t="inlineStr">
        <is>
          <t>Excess (&gt; cap)</t>
        </is>
      </c>
      <c r="B21" s="5" t="n">
        <v>73364078.71612211</v>
      </c>
      <c r="C21" s="3" t="n">
        <v>241300.6861833077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3345973.190821985</v>
      </c>
    </row>
    <row r="25">
      <c r="A25" t="inlineStr">
        <is>
          <t>+ Sky-Direct revenue (full venue yield on fixed/capped SDE)</t>
        </is>
      </c>
      <c r="B25" s="3" t="n">
        <v>5242531.28537233</v>
      </c>
    </row>
    <row r="26">
      <c r="A26" t="inlineStr">
        <is>
          <t>equals sky_revenue (total Sky take this month)</t>
        </is>
      </c>
      <c r="B26" s="3" t="n">
        <v>8588504.476194315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9534049.062243789</v>
      </c>
    </row>
    <row r="31">
      <c r="A31" t="inlineStr">
        <is>
          <t xml:space="preserve">    ↳ actual CoF on Net_Subs (BR × utilized)</t>
        </is>
      </c>
      <c r="B31" s="3" t="n">
        <v>3345973.190821985</v>
      </c>
    </row>
    <row r="32">
      <c r="A32" t="inlineStr">
        <is>
          <t xml:space="preserve">    ↳ reduction from idle/SDE deductions</t>
        </is>
      </c>
      <c r="B32" s="3" t="n">
        <v>-6188075.871421805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</t>
        </is>
      </c>
    </row>
    <row r="41">
      <c r="A41" t="inlineStr">
        <is>
          <t>T this period</t>
        </is>
      </c>
      <c r="B41" t="inlineStr">
        <is>
          <t>4 (SoM) → 4 (EoM)</t>
        </is>
      </c>
    </row>
    <row r="42">
      <c r="A42" s="11" t="inlineStr">
        <is>
          <t>Formula</t>
        </is>
      </c>
      <c r="B42" t="inlineStr">
        <is>
          <t>subsidised_apy = ref_rate + (base_apy − ref_rate) × min(T, 24) / 24, applied to first cap_usd of utilized; excess at full base_apy</t>
        </is>
      </c>
    </row>
    <row r="44">
      <c r="A44" s="11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0.037</v>
      </c>
      <c r="M10" s="6" t="n">
        <v>0.03743491707043663</v>
      </c>
      <c r="N10" s="3" t="n">
        <v>97975.47676751614</v>
      </c>
      <c r="O10" s="3" t="n">
        <v>322195.4437217471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0.037</v>
      </c>
      <c r="M11" s="6" t="n">
        <v>0.03743491707043663</v>
      </c>
      <c r="N11" s="3" t="n">
        <v>98055.62136761917</v>
      </c>
      <c r="O11" s="3" t="n">
        <v>322301.8744925075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0.037</v>
      </c>
      <c r="M12" s="6" t="n">
        <v>0.03743491707043663</v>
      </c>
      <c r="N12" s="3" t="n">
        <v>98034.80773212721</v>
      </c>
      <c r="O12" s="3" t="n">
        <v>322301.8744925075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0.037</v>
      </c>
      <c r="M13" s="6" t="n">
        <v>0.03743491707043663</v>
      </c>
      <c r="N13" s="3" t="n">
        <v>103077.0320153224</v>
      </c>
      <c r="O13" s="3" t="n">
        <v>327516.9903662701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0.037</v>
      </c>
      <c r="M14" s="6" t="n">
        <v>0.03743491707043663</v>
      </c>
      <c r="N14" s="3" t="n">
        <v>103077.0320153224</v>
      </c>
      <c r="O14" s="3" t="n">
        <v>327516.9903662701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0.037</v>
      </c>
      <c r="M15" s="6" t="n">
        <v>0.03743491707043663</v>
      </c>
      <c r="N15" s="3" t="n">
        <v>103077.0320153224</v>
      </c>
      <c r="O15" s="3" t="n">
        <v>327516.9903662701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0.037</v>
      </c>
      <c r="M18" s="6" t="n">
        <v>0.03743491707043663</v>
      </c>
      <c r="N18" s="3" t="n">
        <v>110100.399375221</v>
      </c>
      <c r="O18" s="3" t="n">
        <v>323998.7001002377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0.037</v>
      </c>
      <c r="M19" s="6" t="n">
        <v>0.03743491707043663</v>
      </c>
      <c r="N19" s="3" t="n">
        <v>110187.7240966493</v>
      </c>
      <c r="O19" s="3" t="n">
        <v>318784.2969737265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0.037</v>
      </c>
      <c r="M20" s="6" t="n">
        <v>0.03743491707043663</v>
      </c>
      <c r="N20" s="3" t="n">
        <v>112827.7753732605</v>
      </c>
      <c r="O20" s="3" t="n">
        <v>316122.6261382353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0.037</v>
      </c>
      <c r="M21" s="6" t="n">
        <v>0.03743491707043663</v>
      </c>
      <c r="N21" s="3" t="n">
        <v>112827.7753732605</v>
      </c>
      <c r="O21" s="3" t="n">
        <v>316122.6261382353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0.037</v>
      </c>
      <c r="M22" s="6" t="n">
        <v>0.03743491707043663</v>
      </c>
      <c r="N22" s="3" t="n">
        <v>112827.7753732605</v>
      </c>
      <c r="O22" s="3" t="n">
        <v>316122.6261382353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0.0368</v>
      </c>
      <c r="M24" s="6" t="n">
        <v>0.03726825040376996</v>
      </c>
      <c r="N24" s="3" t="n">
        <v>112627.8105663799</v>
      </c>
      <c r="O24" s="3" t="n">
        <v>305358.2933454882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0.0368</v>
      </c>
      <c r="M25" s="6" t="n">
        <v>0.03726825040376996</v>
      </c>
      <c r="N25" s="3" t="n">
        <v>110481.0523904593</v>
      </c>
      <c r="O25" s="3" t="n">
        <v>297909.1428343162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0.0368</v>
      </c>
      <c r="M33" s="6" t="n">
        <v>0.03718466737761376</v>
      </c>
      <c r="N33" s="3" t="n">
        <v>108960.0649366465</v>
      </c>
      <c r="O33" s="3" t="n">
        <v>273162.9438668333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0.0368</v>
      </c>
      <c r="M34" s="6" t="n">
        <v>0.03718466737761376</v>
      </c>
      <c r="N34" s="3" t="n">
        <v>109478.4706372722</v>
      </c>
      <c r="O34" s="3" t="n">
        <v>273688.4873327413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0.0368</v>
      </c>
      <c r="M35" s="6" t="n">
        <v>0.03718466737761376</v>
      </c>
      <c r="N35" s="3" t="n">
        <v>110004.0141031801</v>
      </c>
      <c r="O35" s="3" t="n">
        <v>274214.0307986492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0.0368</v>
      </c>
      <c r="M36" s="6" t="n">
        <v>0.03718466737761376</v>
      </c>
      <c r="N36" s="3" t="n">
        <v>110319.3401827249</v>
      </c>
      <c r="O36" s="3" t="n">
        <v>274529.356878194</v>
      </c>
    </row>
    <row r="38">
      <c r="A38" s="7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3345973.190821985</v>
      </c>
      <c r="O38" s="10" t="n">
        <v>9534049.062243789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2026-07-03T06:32:38Z</dcterms:created>
  <dcterms:modified xmlns:dcterms="http://purl.org/dc/terms/" xmlns:xsi="http://www.w3.org/2001/XMLSchema-instance" xsi:type="dcterms:W3CDTF">2026-07-03T06:32:38Z</dcterms:modified>
</cp:coreProperties>
</file>