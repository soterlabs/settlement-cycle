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3585695.947968568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>
        <is>
          <t>+ distribution_rewards (settle-dr-dune)</t>
        </is>
      </c>
      <c r="B6" s="3" t="n">
        <v>20518.52</v>
      </c>
    </row>
    <row r="7">
      <c r="A7" t="inlineStr"/>
      <c r="B7" s="4" t="n">
        <v>3678175.065050077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3345973.190821985</v>
      </c>
    </row>
    <row r="11">
      <c r="A11" t="inlineStr">
        <is>
          <t>+ SDE revenue (Sky-Direct, full to Sky)</t>
        </is>
      </c>
      <c r="B11" s="3" t="n">
        <v>5242531.28537233</v>
      </c>
    </row>
    <row r="12">
      <c r="A12" t="inlineStr"/>
      <c r="B12" s="4" t="n">
        <v>8588504.476194315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3345973.190821985</v>
      </c>
    </row>
    <row r="16">
      <c r="A16" t="inlineStr">
        <is>
          <t>reduction from idle/SDE deductions</t>
        </is>
      </c>
      <c r="B16" s="3" t="n">
        <v>-6188075.871421805</v>
      </c>
    </row>
    <row r="17">
      <c r="A17" t="inlineStr"/>
      <c r="B17" s="4" t="n">
        <v>9534049.062243789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3585695.947968568</v>
      </c>
    </row>
    <row r="21">
      <c r="A21" t="inlineStr">
        <is>
          <t>− CoF (deducted per-venue in display)</t>
        </is>
      </c>
      <c r="B21" s="3" t="n">
        <v>-3345973.190821985</v>
      </c>
    </row>
    <row r="22">
      <c r="A22" t="inlineStr"/>
      <c r="B22" s="4" t="n">
        <v>239722.7571465833</v>
      </c>
    </row>
    <row r="24">
      <c r="A24" t="inlineStr">
        <is>
          <t>Period</t>
        </is>
      </c>
      <c r="B24" t="inlineStr">
        <is>
          <t>2026-05-01 → 2026-05-31 (31 days)</t>
        </is>
      </c>
    </row>
    <row r="25">
      <c r="A25" t="inlineStr">
        <is>
          <t>Pin blocks</t>
        </is>
      </c>
      <c r="B25" t="inlineStr">
        <is>
          <t>avalanche_c=86865826, base=46741326, ethereum=25218797, monad=78309381, plume=71786194</t>
        </is>
      </c>
    </row>
    <row r="26">
      <c r="A26" t="inlineStr">
        <is>
          <t>Generated</t>
        </is>
      </c>
      <c r="B26" t="inlineStr">
        <is>
          <t>2026-07-10T11:17:38+00:00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812729.8191806873</v>
      </c>
      <c r="O4" s="5" t="n">
        <v>812729.8191806873</v>
      </c>
      <c r="P4" s="5" t="n">
        <v>180741.7411251486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791118.590882017</v>
      </c>
      <c r="O5" s="5" t="n">
        <v>791118.590882017</v>
      </c>
      <c r="P5" s="5" t="n">
        <v>-536320.3902494919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405737.526010569</v>
      </c>
      <c r="O6" s="5" t="n">
        <v>405737.526010569</v>
      </c>
      <c r="P6" s="5" t="n">
        <v>90231.34768807696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319682.5102507983</v>
      </c>
      <c r="O7" s="5" t="n">
        <v>319682.5102507983</v>
      </c>
      <c r="P7" s="5" t="n">
        <v>133422.7897492017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237121.9174690625</v>
      </c>
      <c r="O8" s="5" t="n">
        <v>237121.9174690625</v>
      </c>
      <c r="P8" s="5" t="n">
        <v>32211.14724888539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228589.5881358311</v>
      </c>
      <c r="O9" s="5" t="n">
        <v>228589.5881358311</v>
      </c>
      <c r="P9" s="5" t="n">
        <v>43984.88871086163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157468.4093310286</v>
      </c>
      <c r="O10" s="5" t="n">
        <v>157468.4093310286</v>
      </c>
      <c r="P10" s="5" t="n">
        <v>231641.4906689714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123464.0815510022</v>
      </c>
      <c r="O11" s="5" t="n">
        <v>123464.0815510022</v>
      </c>
      <c r="P11" s="5" t="n">
        <v>-171977.8845777201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78815.92468452427</v>
      </c>
      <c r="O12" s="5" t="n">
        <v>78815.92468452427</v>
      </c>
      <c r="P12" s="5" t="n">
        <v>-67603.57673652428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78737.87086205014</v>
      </c>
      <c r="O13" s="5" t="n">
        <v>78737.87086205014</v>
      </c>
      <c r="P13" s="5" t="n">
        <v>-78458.06931515611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78678.67467484385</v>
      </c>
      <c r="O14" s="5" t="n">
        <v>78678.67467484385</v>
      </c>
      <c r="P14" s="5" t="n">
        <v>-4612.526554804812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17994.75185631512</v>
      </c>
      <c r="O15" s="5" t="n">
        <v>17994.75185631512</v>
      </c>
      <c r="P15" s="5" t="n">
        <v>299.4515655521261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-4e-21</v>
      </c>
      <c r="I16" s="5" t="n">
        <v>0</v>
      </c>
      <c r="J16" s="5" t="n">
        <v>-4e-21</v>
      </c>
      <c r="K16" s="5" t="n">
        <v>0</v>
      </c>
      <c r="L16" s="5" t="n">
        <v>3966608.499661194</v>
      </c>
      <c r="M16" s="6" t="n">
        <v>1</v>
      </c>
      <c r="N16" s="5" t="n">
        <v>12492.31061761172</v>
      </c>
      <c r="O16" s="5" t="n">
        <v>12492.31061761172</v>
      </c>
      <c r="P16" s="5" t="n">
        <v>-12492.31061761172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3183.538669282045</v>
      </c>
      <c r="O17" s="5" t="n">
        <v>3183.538669282045</v>
      </c>
      <c r="P17" s="5" t="n">
        <v>487.414433158036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49596</v>
      </c>
      <c r="G18" s="5" t="n">
        <v>49596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39996.77419354839</v>
      </c>
      <c r="M18" s="6" t="n">
        <v>1</v>
      </c>
      <c r="N18" s="5" t="n">
        <v>125.964568212608</v>
      </c>
      <c r="O18" s="5" t="n">
        <v>125.964568212608</v>
      </c>
      <c r="P18" s="5" t="n">
        <v>-125.964568212608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31.71092164934791</v>
      </c>
      <c r="O19" s="5" t="n">
        <v>31.71092164934791</v>
      </c>
      <c r="P19" s="5" t="n">
        <v>-31.71092164934791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0.3672154333303549</v>
      </c>
      <c r="F20" s="5" t="n">
        <v>0.3678698313420545</v>
      </c>
      <c r="G20" s="5" t="n">
        <v>0.000654398011699573</v>
      </c>
      <c r="H20" s="5" t="n">
        <v>0.000654398011699573</v>
      </c>
      <c r="I20" s="5" t="n">
        <v>0</v>
      </c>
      <c r="J20" s="5" t="n">
        <v>0.000654398011699573</v>
      </c>
      <c r="K20" s="5" t="n">
        <v>0</v>
      </c>
      <c r="L20" s="5" t="n">
        <v>0.3672154333303549</v>
      </c>
      <c r="M20" s="6" t="n">
        <v>1</v>
      </c>
      <c r="N20" s="5" t="n">
        <v>0.001156496603366707</v>
      </c>
      <c r="O20" s="5" t="n">
        <v>0.001156496603366707</v>
      </c>
      <c r="P20" s="5" t="n">
        <v>-0.0005020985916671342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3.149368186620571e-09</v>
      </c>
      <c r="O21" s="5" t="n">
        <v>3.149368186620571e-09</v>
      </c>
      <c r="P21" s="5" t="n">
        <v>-3.149368186620571e-09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+ 30bps), period avg</t>
        </is>
      </c>
      <c r="B8" s="6" t="n">
        <v>0.03951024672617314</v>
      </c>
    </row>
    <row r="9">
      <c r="A9" t="inlineStr">
        <is>
          <t>Reference rate (tbill_3m), period avg</t>
        </is>
      </c>
      <c r="B9" s="6" t="n">
        <v>0.03689032258064516</v>
      </c>
    </row>
    <row r="10">
      <c r="A10" t="inlineStr">
        <is>
          <t>Subsidised rate (BR*), period avg</t>
        </is>
      </c>
      <c r="B10" s="6" t="n">
        <v>0.03732734186107307</v>
      </c>
    </row>
    <row r="11">
      <c r="A11" s="7" t="inlineStr">
        <is>
          <t>Effective blended rate charged</t>
        </is>
      </c>
      <c r="B11" s="8" t="n">
        <v>0.03747483383441957</v>
      </c>
    </row>
    <row r="12">
      <c r="A12" s="7" t="inlineStr">
        <is>
          <t>Diff vs base rate (bps)</t>
        </is>
      </c>
      <c r="B12" s="9" t="n">
        <v>-20.35412891753571</v>
      </c>
    </row>
    <row r="13">
      <c r="A13" s="7" t="inlineStr">
        <is>
          <t>Subsidy benefit to prime (USD)</t>
        </is>
      </c>
      <c r="B13" s="10" t="n">
        <v>178277.9868267714</v>
      </c>
    </row>
    <row r="15">
      <c r="A15" t="inlineStr">
        <is>
          <t>CoF at full base rate (no subsidy)</t>
        </is>
      </c>
      <c r="B15" s="3" t="n">
        <v>3524251.177648756</v>
      </c>
    </row>
    <row r="16">
      <c r="A16" t="inlineStr">
        <is>
          <t xml:space="preserve">  − actual CoF (subsidy on first tranche)</t>
        </is>
      </c>
      <c r="B16" s="3" t="n">
        <v>3345973.190821985</v>
      </c>
    </row>
    <row r="17">
      <c r="A17" s="7" t="inlineStr">
        <is>
          <t xml:space="preserve">  = subsidy benefit</t>
        </is>
      </c>
      <c r="B17" s="10" t="n">
        <v>178277.9868267714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3" t="n">
        <v>3104672.504638677</v>
      </c>
    </row>
    <row r="21">
      <c r="A21" t="inlineStr">
        <is>
          <t>Excess (&gt; cap)</t>
        </is>
      </c>
      <c r="B21" s="5" t="n">
        <v>73364078.71612211</v>
      </c>
      <c r="C21" s="3" t="n">
        <v>241300.6861833077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3345973.190821985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8588504.476194315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9534049.062243789</v>
      </c>
    </row>
    <row r="31">
      <c r="A31" t="inlineStr">
        <is>
          <t xml:space="preserve">    ↳ actual CoF on Net_Subs (BR × utilized)</t>
        </is>
      </c>
      <c r="B31" s="3" t="n">
        <v>3345973.190821985</v>
      </c>
    </row>
    <row r="32">
      <c r="A32" t="inlineStr">
        <is>
          <t xml:space="preserve">    ↳ reduction from idle/SDE deductions</t>
        </is>
      </c>
      <c r="B32" s="3" t="n">
        <v>-6188075.871421805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2026-07-10T11:17:38Z</dcterms:created>
  <dcterms:modified xmlns:dcterms="http://purl.org/dc/terms/" xmlns:xsi="http://www.w3.org/2001/XMLSchema-instance" xsi:type="dcterms:W3CDTF">2026-07-10T11:17:38Z</dcterms:modified>
</cp:coreProperties>
</file>