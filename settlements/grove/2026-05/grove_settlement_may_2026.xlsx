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Venues" sheetId="2" state="visible" r:id="rId2"/>
    <sheet name="Sky Revenue" sheetId="3" state="visible" r:id="rId3"/>
    <sheet name="Sky Direct" sheetId="4" state="visible" r:id="rId4"/>
    <sheet name="Debt" sheetId="5" state="visible" r:id="rId5"/>
    <sheet name="Off-protocol hold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;&quot;−$&quot;#,##0.00;&quot;$&quot;0.00"/>
    <numFmt numFmtId="165" formatCode="&quot;$&quot;#,##0;&quot;−$&quot;#,##0;&quot;$&quot;0"/>
    <numFmt numFmtId="166" formatCode="0.000%"/>
    <numFmt numFmtId="167" formatCode="0.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GROVE — Monthly settlement 2026-05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3713239.05578596</v>
      </c>
    </row>
    <row r="5">
      <c r="A5" t="inlineStr">
        <is>
          <t>+ agent_rate (subproxy USDS / sUSDS yield)</t>
        </is>
      </c>
      <c r="B5" s="3" t="n">
        <v>71960.5970815084</v>
      </c>
    </row>
    <row r="6">
      <c r="A6" t="inlineStr">
        <is>
          <t>+ distribution_rewards (settle-dr-dune)</t>
        </is>
      </c>
      <c r="B6" s="3" t="n">
        <v>20518.52</v>
      </c>
    </row>
    <row r="7">
      <c r="A7" t="inlineStr">
        <is>
          <t>+ chronicle_points (20% of base rate on Chronicle Farm USDS)</t>
        </is>
      </c>
      <c r="B7" s="3" t="n">
        <v>18585.45388687248</v>
      </c>
    </row>
    <row r="8">
      <c r="A8" t="inlineStr"/>
      <c r="B8" s="4" t="n">
        <v>3824303.626754341</v>
      </c>
    </row>
    <row r="10">
      <c r="A10" s="2" t="inlineStr">
        <is>
          <t>Sky side</t>
        </is>
      </c>
      <c r="B10" s="2" t="inlineStr">
        <is>
          <t>USD</t>
        </is>
      </c>
    </row>
    <row r="11">
      <c r="A11" t="inlineStr">
        <is>
          <t>CoF on utilized (BR × Net_Subs)</t>
        </is>
      </c>
      <c r="B11" s="3" t="n">
        <v>3343569.522288233</v>
      </c>
    </row>
    <row r="12">
      <c r="A12" t="inlineStr">
        <is>
          <t>+ SDE revenue (Sky-Direct, full to Sky)</t>
        </is>
      </c>
      <c r="B12" s="3" t="n">
        <v>5242531.28537233</v>
      </c>
    </row>
    <row r="13">
      <c r="A13" t="inlineStr"/>
      <c r="B13" s="4" t="n">
        <v>8586100.807660563</v>
      </c>
    </row>
    <row r="15">
      <c r="A15" s="2" t="inlineStr">
        <is>
          <t>Sky Revenue (max) — BR × full ilk debt, no deductions</t>
        </is>
      </c>
      <c r="B15" s="2" t="inlineStr">
        <is>
          <t>USD</t>
        </is>
      </c>
    </row>
    <row r="16">
      <c r="A16" t="inlineStr">
        <is>
          <t>CoF on Net_Subs (actual BR × utilized)</t>
        </is>
      </c>
      <c r="B16" s="3" t="n">
        <v>3343569.522288233</v>
      </c>
    </row>
    <row r="17">
      <c r="A17" t="inlineStr">
        <is>
          <t>reduction from idle/SDE deductions</t>
        </is>
      </c>
      <c r="B17" s="3" t="n">
        <v>-6188058.353185593</v>
      </c>
    </row>
    <row r="18">
      <c r="A18" t="inlineStr"/>
      <c r="B18" s="4" t="n">
        <v>9531627.875473827</v>
      </c>
    </row>
    <row r="20">
      <c r="A20" s="2" t="inlineStr">
        <is>
          <t>Comparison (Grove-style "Profit to Grove")</t>
        </is>
      </c>
      <c r="B20" s="2" t="inlineStr">
        <is>
          <t>USD</t>
        </is>
      </c>
    </row>
    <row r="21">
      <c r="A21" t="inlineStr">
        <is>
          <t>prime_agent_revenue</t>
        </is>
      </c>
      <c r="B21" s="3" t="n">
        <v>3713239.05578596</v>
      </c>
    </row>
    <row r="22">
      <c r="A22" t="inlineStr">
        <is>
          <t>− CoF (deducted per-venue in display)</t>
        </is>
      </c>
      <c r="B22" s="3" t="n">
        <v>-3343569.522288233</v>
      </c>
    </row>
    <row r="23">
      <c r="A23" t="inlineStr"/>
      <c r="B23" s="4" t="n">
        <v>369669.5334977265</v>
      </c>
    </row>
    <row r="25">
      <c r="A25" t="inlineStr">
        <is>
          <t>Period</t>
        </is>
      </c>
      <c r="B25" t="inlineStr">
        <is>
          <t>2026-05-01 → 2026-05-31 (31 days)</t>
        </is>
      </c>
    </row>
    <row r="26">
      <c r="A26" t="inlineStr">
        <is>
          <t>Pin blocks</t>
        </is>
      </c>
      <c r="B26" t="inlineStr">
        <is>
          <t>avalanche_c=86865826, base=46741326, ethereum=25218797, monad=78309381, plume=71786194</t>
        </is>
      </c>
    </row>
    <row r="27">
      <c r="A27" t="inlineStr">
        <is>
          <t>Generated</t>
        </is>
      </c>
      <c r="B27" t="inlineStr">
        <is>
          <t>2026-08-06T00:22:23+00:00</t>
        </is>
      </c>
    </row>
    <row r="28">
      <c r="A28" t="inlineStr">
        <is>
          <t>Pipeline</t>
        </is>
      </c>
      <c r="B28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E9</t>
        </is>
      </c>
      <c r="B2" t="inlineStr">
        <is>
          <t>Janus Henderson Anemoy Treasury Fund (JTRSY)</t>
        </is>
      </c>
      <c r="C2" t="inlineStr">
        <is>
          <t>ethereum</t>
        </is>
      </c>
      <c r="D2" t="inlineStr">
        <is>
          <t>E</t>
        </is>
      </c>
      <c r="E2" s="5" t="n">
        <v>1222772366.24006</v>
      </c>
      <c r="F2" s="5" t="n">
        <v>850436206.6551198</v>
      </c>
      <c r="G2" s="5" t="n">
        <v>-372336159.5849407</v>
      </c>
      <c r="H2" s="5" t="n">
        <v>2772067.36537233</v>
      </c>
      <c r="I2" s="5" t="n">
        <v>0</v>
      </c>
      <c r="J2" s="5" t="n">
        <v>0</v>
      </c>
      <c r="K2" s="5" t="n">
        <v>2772067.36537233</v>
      </c>
      <c r="L2" s="5" t="n">
        <v>1009841460.053697</v>
      </c>
      <c r="M2" s="6" t="n">
        <v>0</v>
      </c>
      <c r="N2" s="5" t="n">
        <v>0</v>
      </c>
      <c r="O2" s="5" t="n">
        <v>2772067.36537233</v>
      </c>
      <c r="P2" s="5" t="n">
        <v>0</v>
      </c>
      <c r="Q2" s="5" t="n">
        <v>1009841460.053697</v>
      </c>
      <c r="R2" s="5" t="n">
        <v>0</v>
      </c>
      <c r="S2" t="inlineStr">
        <is>
          <t>SDE (fixed)</t>
        </is>
      </c>
    </row>
    <row r="3">
      <c r="A3" t="inlineStr">
        <is>
          <t>E10</t>
        </is>
      </c>
      <c r="B3" t="inlineStr">
        <is>
          <t>BlackRock USD Institutional Digital Liquidity Fund (BUIDL-I)</t>
        </is>
      </c>
      <c r="C3" t="inlineStr">
        <is>
          <t>ethereum</t>
        </is>
      </c>
      <c r="D3" t="inlineStr">
        <is>
          <t>E</t>
        </is>
      </c>
      <c r="E3" s="5" t="n">
        <v>984378012.0599999</v>
      </c>
      <c r="F3" s="5" t="n">
        <v>711851475.98</v>
      </c>
      <c r="G3" s="5" t="n">
        <v>-272526536.08</v>
      </c>
      <c r="H3" s="5" t="n">
        <v>2470463.92</v>
      </c>
      <c r="I3" s="5" t="n">
        <v>0</v>
      </c>
      <c r="J3" s="5" t="n">
        <v>0</v>
      </c>
      <c r="K3" s="5" t="n">
        <v>2470463.92</v>
      </c>
      <c r="L3" s="5" t="n">
        <v>866637399.1567742</v>
      </c>
      <c r="M3" s="6" t="n">
        <v>0</v>
      </c>
      <c r="N3" s="5" t="n">
        <v>0</v>
      </c>
      <c r="O3" s="5" t="n">
        <v>2470463.92</v>
      </c>
      <c r="P3" s="5" t="n">
        <v>0</v>
      </c>
      <c r="Q3" s="5" t="n">
        <v>866637399.1567742</v>
      </c>
      <c r="R3" s="5" t="n">
        <v>0</v>
      </c>
      <c r="S3" t="inlineStr">
        <is>
          <t>SDE (fixed)</t>
        </is>
      </c>
    </row>
    <row r="4">
      <c r="A4" t="inlineStr">
        <is>
          <t>E20</t>
        </is>
      </c>
      <c r="B4" t="inlineStr">
        <is>
          <t>Janus Henderson Anemoy AAA CLO (JAAA-avalanche)</t>
        </is>
      </c>
      <c r="C4" t="inlineStr">
        <is>
          <t>avalanche_c</t>
        </is>
      </c>
      <c r="D4" t="inlineStr">
        <is>
          <t>E</t>
        </is>
      </c>
      <c r="E4" s="5" t="n">
        <v>258061227.2116671</v>
      </c>
      <c r="F4" s="5" t="n">
        <v>259054698.771973</v>
      </c>
      <c r="G4" s="5" t="n">
        <v>993471.560305836</v>
      </c>
      <c r="H4" s="5" t="n">
        <v>993471.560305836</v>
      </c>
      <c r="I4" s="5" t="n">
        <v>0</v>
      </c>
      <c r="J4" s="5" t="n">
        <v>993471.560305836</v>
      </c>
      <c r="K4" s="5" t="n">
        <v>0</v>
      </c>
      <c r="L4" s="5" t="n">
        <v>258061227.2116671</v>
      </c>
      <c r="M4" s="6" t="n">
        <v>1</v>
      </c>
      <c r="N4" s="5" t="n">
        <v>812223.7611216932</v>
      </c>
      <c r="O4" s="5" t="n">
        <v>812223.7611216932</v>
      </c>
      <c r="P4" s="5" t="n">
        <v>181247.7991841428</v>
      </c>
      <c r="Q4" s="5" t="n">
        <v>0</v>
      </c>
      <c r="R4" s="5" t="n">
        <v>0</v>
      </c>
      <c r="S4" t="inlineStr"/>
    </row>
    <row r="5">
      <c r="A5" t="inlineStr">
        <is>
          <t>E1</t>
        </is>
      </c>
      <c r="B5" t="inlineStr">
        <is>
          <t>Aave Horizon RWA RLUSD (aToken)</t>
        </is>
      </c>
      <c r="C5" t="inlineStr">
        <is>
          <t>ethereum</t>
        </is>
      </c>
      <c r="D5" t="inlineStr">
        <is>
          <t>C</t>
        </is>
      </c>
      <c r="E5" s="5" t="n">
        <v>251199143.4481741</v>
      </c>
      <c r="F5" s="5" t="n">
        <v>251453941.6488067</v>
      </c>
      <c r="G5" s="5" t="n">
        <v>254798.2006325252</v>
      </c>
      <c r="H5" s="5" t="n">
        <v>254798.2006325252</v>
      </c>
      <c r="I5" s="5" t="n">
        <v>0</v>
      </c>
      <c r="J5" s="5" t="n">
        <v>254798.2006325252</v>
      </c>
      <c r="K5" s="5" t="n">
        <v>0</v>
      </c>
      <c r="L5" s="5" t="n">
        <v>251199143.4481741</v>
      </c>
      <c r="M5" s="6" t="n">
        <v>1</v>
      </c>
      <c r="N5" s="5" t="n">
        <v>790625.9893690818</v>
      </c>
      <c r="O5" s="5" t="n">
        <v>790625.9893690818</v>
      </c>
      <c r="P5" s="5" t="n">
        <v>-535827.7887365567</v>
      </c>
      <c r="Q5" s="5" t="n">
        <v>0</v>
      </c>
      <c r="R5" s="5" t="n">
        <v>0</v>
      </c>
      <c r="S5" t="inlineStr"/>
    </row>
    <row r="6">
      <c r="A6" t="inlineStr">
        <is>
          <t>E8</t>
        </is>
      </c>
      <c r="B6" t="inlineStr">
        <is>
          <t>Janus Henderson Anemoy AAA CLO (JAAA)</t>
        </is>
      </c>
      <c r="C6" t="inlineStr">
        <is>
          <t>ethereum</t>
        </is>
      </c>
      <c r="D6" t="inlineStr">
        <is>
          <t>E</t>
        </is>
      </c>
      <c r="E6" s="5" t="n">
        <v>128831404.2588795</v>
      </c>
      <c r="F6" s="5" t="n">
        <v>129327373.1325781</v>
      </c>
      <c r="G6" s="5" t="n">
        <v>495968.8736986459</v>
      </c>
      <c r="H6" s="5" t="n">
        <v>495968.8736986459</v>
      </c>
      <c r="I6" s="5" t="n">
        <v>0</v>
      </c>
      <c r="J6" s="5" t="n">
        <v>495968.8736986459</v>
      </c>
      <c r="K6" s="5" t="n">
        <v>0</v>
      </c>
      <c r="L6" s="5" t="n">
        <v>128831404.2588795</v>
      </c>
      <c r="M6" s="6" t="n">
        <v>1</v>
      </c>
      <c r="N6" s="5" t="n">
        <v>405484.8876305954</v>
      </c>
      <c r="O6" s="5" t="n">
        <v>405484.8876305954</v>
      </c>
      <c r="P6" s="5" t="n">
        <v>90483.98606805052</v>
      </c>
      <c r="Q6" s="5" t="n">
        <v>0</v>
      </c>
      <c r="R6" s="5" t="n">
        <v>0</v>
      </c>
      <c r="S6" t="inlineStr"/>
    </row>
    <row r="7">
      <c r="A7" t="inlineStr">
        <is>
          <t>E7</t>
        </is>
      </c>
      <c r="B7" t="inlineStr">
        <is>
          <t>Securitize Tokenized AAA CLO Fund (STAC)</t>
        </is>
      </c>
      <c r="C7" t="inlineStr">
        <is>
          <t>ethereum</t>
        </is>
      </c>
      <c r="D7" t="inlineStr">
        <is>
          <t>E</t>
        </is>
      </c>
      <c r="E7" s="5" t="n">
        <v>101506871</v>
      </c>
      <c r="F7" s="5" t="n">
        <v>101959976.3</v>
      </c>
      <c r="G7" s="5" t="n">
        <v>453105.3</v>
      </c>
      <c r="H7" s="5" t="n">
        <v>453105.3</v>
      </c>
      <c r="I7" s="5" t="n">
        <v>0</v>
      </c>
      <c r="J7" s="5" t="n">
        <v>453105.3</v>
      </c>
      <c r="K7" s="5" t="n">
        <v>0</v>
      </c>
      <c r="L7" s="5" t="n">
        <v>101506871</v>
      </c>
      <c r="M7" s="6" t="n">
        <v>1</v>
      </c>
      <c r="N7" s="5" t="n">
        <v>319483.4552797441</v>
      </c>
      <c r="O7" s="5" t="n">
        <v>319483.4552797441</v>
      </c>
      <c r="P7" s="5" t="n">
        <v>133621.8447202559</v>
      </c>
      <c r="Q7" s="5" t="n">
        <v>0</v>
      </c>
      <c r="R7" s="5" t="n">
        <v>0</v>
      </c>
      <c r="S7" t="inlineStr"/>
    </row>
    <row r="8">
      <c r="A8" t="inlineStr">
        <is>
          <t>E23</t>
        </is>
      </c>
      <c r="B8" t="inlineStr">
        <is>
          <t>Steakhouse Prime Instant (Base, Morpho V2)</t>
        </is>
      </c>
      <c r="C8" t="inlineStr">
        <is>
          <t>base</t>
        </is>
      </c>
      <c r="D8" t="inlineStr">
        <is>
          <t>B</t>
        </is>
      </c>
      <c r="E8" s="5" t="n">
        <v>67839910.00531574</v>
      </c>
      <c r="F8" s="5" t="n">
        <v>103110534.9489754</v>
      </c>
      <c r="G8" s="5" t="n">
        <v>35270624.94365972</v>
      </c>
      <c r="H8" s="5" t="n">
        <v>269333.0647179479</v>
      </c>
      <c r="I8" s="5" t="n">
        <v>0</v>
      </c>
      <c r="J8" s="5" t="n">
        <v>269333.0647179479</v>
      </c>
      <c r="K8" s="5" t="n">
        <v>0</v>
      </c>
      <c r="L8" s="5" t="n">
        <v>75291900.92045291</v>
      </c>
      <c r="M8" s="6" t="n">
        <v>1</v>
      </c>
      <c r="N8" s="5" t="n">
        <v>236974.2700535655</v>
      </c>
      <c r="O8" s="5" t="n">
        <v>236974.2700535655</v>
      </c>
      <c r="P8" s="5" t="n">
        <v>32358.79466438239</v>
      </c>
      <c r="Q8" s="5" t="n">
        <v>0</v>
      </c>
      <c r="R8" s="5" t="n">
        <v>0</v>
      </c>
      <c r="S8" t="inlineStr"/>
    </row>
    <row r="9">
      <c r="A9" t="inlineStr">
        <is>
          <t>E37</t>
        </is>
      </c>
      <c r="B9" t="inlineStr">
        <is>
          <t>Maple syrupUSDC (ERC-4626)</t>
        </is>
      </c>
      <c r="C9" t="inlineStr">
        <is>
          <t>ethereum</t>
        </is>
      </c>
      <c r="D9" t="inlineStr">
        <is>
          <t>B</t>
        </is>
      </c>
      <c r="E9" s="5" t="n">
        <v>0</v>
      </c>
      <c r="F9" s="5" t="n">
        <v>100275383.2182718</v>
      </c>
      <c r="G9" s="5" t="n">
        <v>100275383.2182718</v>
      </c>
      <c r="H9" s="5" t="n">
        <v>272574.4768466928</v>
      </c>
      <c r="I9" s="5" t="n">
        <v>0</v>
      </c>
      <c r="J9" s="5" t="n">
        <v>272574.4768466928</v>
      </c>
      <c r="K9" s="5" t="n">
        <v>0</v>
      </c>
      <c r="L9" s="5" t="n">
        <v>72582681.53814024</v>
      </c>
      <c r="M9" s="6" t="n">
        <v>1</v>
      </c>
      <c r="N9" s="5" t="n">
        <v>228447.2534994634</v>
      </c>
      <c r="O9" s="5" t="n">
        <v>228447.2534994634</v>
      </c>
      <c r="P9" s="5" t="n">
        <v>44127.22334722937</v>
      </c>
      <c r="Q9" s="5" t="n">
        <v>0</v>
      </c>
      <c r="R9" s="5" t="n">
        <v>0</v>
      </c>
      <c r="S9" t="inlineStr"/>
    </row>
    <row r="10">
      <c r="A10" t="inlineStr">
        <is>
          <t>E21</t>
        </is>
      </c>
      <c r="B10" t="inlineStr">
        <is>
          <t>Galaxy Arch CLO Token (GACLO-1)</t>
        </is>
      </c>
      <c r="C10" t="inlineStr">
        <is>
          <t>avalanche_c</t>
        </is>
      </c>
      <c r="D10" t="inlineStr">
        <is>
          <t>E</t>
        </is>
      </c>
      <c r="E10" s="5" t="n">
        <v>49900000</v>
      </c>
      <c r="F10" s="5" t="n">
        <v>46308344.52</v>
      </c>
      <c r="G10" s="5" t="n">
        <v>-3591655.48</v>
      </c>
      <c r="H10" s="5" t="n">
        <v>389109.9</v>
      </c>
      <c r="I10" s="5" t="n">
        <v>0</v>
      </c>
      <c r="J10" s="5" t="n">
        <v>389109.9</v>
      </c>
      <c r="K10" s="5" t="n">
        <v>0</v>
      </c>
      <c r="L10" s="5" t="n">
        <v>50000000</v>
      </c>
      <c r="M10" s="6" t="n">
        <v>1</v>
      </c>
      <c r="N10" s="5" t="n">
        <v>157370.3593324949</v>
      </c>
      <c r="O10" s="5" t="n">
        <v>157370.3593324949</v>
      </c>
      <c r="P10" s="5" t="n">
        <v>231739.5406675051</v>
      </c>
      <c r="Q10" s="5" t="n">
        <v>0</v>
      </c>
      <c r="R10" s="5" t="n">
        <v>0</v>
      </c>
      <c r="S10" t="inlineStr">
        <is>
          <t>(off-chain notional)</t>
        </is>
      </c>
    </row>
    <row r="11">
      <c r="A11" t="inlineStr">
        <is>
          <t>E22</t>
        </is>
      </c>
      <c r="B11" t="inlineStr">
        <is>
          <t>Anemoy Tokenized Apollo Diversified Credit Fund (ACRDX)</t>
        </is>
      </c>
      <c r="C11" t="inlineStr">
        <is>
          <t>plume</t>
        </is>
      </c>
      <c r="D11" t="inlineStr">
        <is>
          <t>E</t>
        </is>
      </c>
      <c r="E11" s="5" t="n">
        <v>50783448.05845664</v>
      </c>
      <c r="F11" s="5" t="n">
        <v>32754774.88723497</v>
      </c>
      <c r="G11" s="5" t="n">
        <v>-18028673.17122167</v>
      </c>
      <c r="H11" s="5" t="n">
        <v>79029.30479067359</v>
      </c>
      <c r="I11" s="5" t="n">
        <v>0</v>
      </c>
      <c r="J11" s="5" t="n">
        <v>79029.30479067359</v>
      </c>
      <c r="K11" s="5" t="n">
        <v>0</v>
      </c>
      <c r="L11" s="5" t="n">
        <v>39101059.36425512</v>
      </c>
      <c r="M11" s="6" t="n">
        <v>1</v>
      </c>
      <c r="N11" s="5" t="n">
        <v>123066.9552486809</v>
      </c>
      <c r="O11" s="5" t="n">
        <v>123066.9552486809</v>
      </c>
      <c r="P11" s="5" t="n">
        <v>-44037.65045800726</v>
      </c>
      <c r="Q11" s="5" t="n">
        <v>0</v>
      </c>
      <c r="R11" s="5" t="n">
        <v>0</v>
      </c>
      <c r="S11" t="inlineStr"/>
    </row>
    <row r="12">
      <c r="A12" t="inlineStr">
        <is>
          <t>E12</t>
        </is>
      </c>
      <c r="B12" t="inlineStr">
        <is>
          <t>Uniswap V3 AUSD/USDC pool (NFT positions)</t>
        </is>
      </c>
      <c r="C12" t="inlineStr">
        <is>
          <t>ethereum</t>
        </is>
      </c>
      <c r="D12" t="inlineStr">
        <is>
          <t>F</t>
        </is>
      </c>
      <c r="E12" s="5" t="n">
        <v>25025948.067729</v>
      </c>
      <c r="F12" s="5" t="n">
        <v>25037160.415677</v>
      </c>
      <c r="G12" s="5" t="n">
        <v>11212.347948</v>
      </c>
      <c r="H12" s="5" t="n">
        <v>11212.347948</v>
      </c>
      <c r="I12" s="5" t="n">
        <v>0</v>
      </c>
      <c r="J12" s="5" t="n">
        <v>11212.347948</v>
      </c>
      <c r="K12" s="5" t="n">
        <v>0</v>
      </c>
      <c r="L12" s="5" t="n">
        <v>25025948.067729</v>
      </c>
      <c r="M12" s="6" t="n">
        <v>1</v>
      </c>
      <c r="N12" s="5" t="n">
        <v>78766.84880109737</v>
      </c>
      <c r="O12" s="5" t="n">
        <v>78766.84880109737</v>
      </c>
      <c r="P12" s="5" t="n">
        <v>-67554.50085309737</v>
      </c>
      <c r="Q12" s="5" t="n">
        <v>0</v>
      </c>
      <c r="R12" s="5" t="n">
        <v>0</v>
      </c>
      <c r="S12" t="inlineStr"/>
    </row>
    <row r="13">
      <c r="A13" t="inlineStr">
        <is>
          <t>E11</t>
        </is>
      </c>
      <c r="B13" t="inlineStr">
        <is>
          <t>Curve AUSD/USDC stableswap LP</t>
        </is>
      </c>
      <c r="C13" t="inlineStr">
        <is>
          <t>ethereum</t>
        </is>
      </c>
      <c r="D13" t="inlineStr">
        <is>
          <t>F</t>
        </is>
      </c>
      <c r="E13" s="5" t="n">
        <v>25001164.10540737</v>
      </c>
      <c r="F13" s="5" t="n">
        <v>25001443.90695427</v>
      </c>
      <c r="G13" s="5" t="n">
        <v>279.8015468940151</v>
      </c>
      <c r="H13" s="5" t="n">
        <v>279.8015468940151</v>
      </c>
      <c r="I13" s="5" t="n">
        <v>0</v>
      </c>
      <c r="J13" s="5" t="n">
        <v>279.8015468940151</v>
      </c>
      <c r="K13" s="5" t="n">
        <v>0</v>
      </c>
      <c r="L13" s="5" t="n">
        <v>25001164.10540737</v>
      </c>
      <c r="M13" s="6" t="n">
        <v>1</v>
      </c>
      <c r="N13" s="5" t="n">
        <v>78688.84357997261</v>
      </c>
      <c r="O13" s="5" t="n">
        <v>78688.84357997261</v>
      </c>
      <c r="P13" s="5" t="n">
        <v>-78409.0420330786</v>
      </c>
      <c r="Q13" s="5" t="n">
        <v>0</v>
      </c>
      <c r="R13" s="5" t="n">
        <v>0</v>
      </c>
      <c r="S13" t="inlineStr"/>
    </row>
    <row r="14">
      <c r="A14" t="inlineStr">
        <is>
          <t>E6</t>
        </is>
      </c>
      <c r="B14" t="inlineStr">
        <is>
          <t>Grove x Steakhouse AUSD (Morpho 4626)</t>
        </is>
      </c>
      <c r="C14" t="inlineStr">
        <is>
          <t>ethereum</t>
        </is>
      </c>
      <c r="D14" t="inlineStr">
        <is>
          <t>B</t>
        </is>
      </c>
      <c r="E14" s="5" t="n">
        <v>24982367.8949618</v>
      </c>
      <c r="F14" s="5" t="n">
        <v>25056434.04308184</v>
      </c>
      <c r="G14" s="5" t="n">
        <v>74066.14812003903</v>
      </c>
      <c r="H14" s="5" t="n">
        <v>74066.14812003903</v>
      </c>
      <c r="I14" s="5" t="n">
        <v>0</v>
      </c>
      <c r="J14" s="5" t="n">
        <v>74066.14812003903</v>
      </c>
      <c r="K14" s="5" t="n">
        <v>0</v>
      </c>
      <c r="L14" s="5" t="n">
        <v>24982367.8949618</v>
      </c>
      <c r="M14" s="6" t="n">
        <v>1</v>
      </c>
      <c r="N14" s="5" t="n">
        <v>78629.68425213445</v>
      </c>
      <c r="O14" s="5" t="n">
        <v>78629.68425213445</v>
      </c>
      <c r="P14" s="5" t="n">
        <v>-4563.536132095423</v>
      </c>
      <c r="Q14" s="5" t="n">
        <v>0</v>
      </c>
      <c r="R14" s="5" t="n">
        <v>0</v>
      </c>
      <c r="S14" t="inlineStr"/>
    </row>
    <row r="15">
      <c r="A15" t="inlineStr">
        <is>
          <t>E4</t>
        </is>
      </c>
      <c r="B15" t="inlineStr">
        <is>
          <t>Grove x Steakhouse USDC (Morpho 4626)</t>
        </is>
      </c>
      <c r="C15" t="inlineStr">
        <is>
          <t>ethereum</t>
        </is>
      </c>
      <c r="D15" t="inlineStr">
        <is>
          <t>B</t>
        </is>
      </c>
      <c r="E15" s="5" t="n">
        <v>5004060.193602587</v>
      </c>
      <c r="F15" s="5" t="n">
        <v>9022511.56296834</v>
      </c>
      <c r="G15" s="5" t="n">
        <v>4018451.369365753</v>
      </c>
      <c r="H15" s="5" t="n">
        <v>18294.20342186725</v>
      </c>
      <c r="I15" s="5" t="n">
        <v>0</v>
      </c>
      <c r="J15" s="5" t="n">
        <v>18294.20342186725</v>
      </c>
      <c r="K15" s="5" t="n">
        <v>0</v>
      </c>
      <c r="L15" s="5" t="n">
        <v>5713765.679339128</v>
      </c>
      <c r="M15" s="6" t="n">
        <v>1</v>
      </c>
      <c r="N15" s="5" t="n">
        <v>17983.54716198551</v>
      </c>
      <c r="O15" s="5" t="n">
        <v>17983.54716198551</v>
      </c>
      <c r="P15" s="5" t="n">
        <v>310.6562598817485</v>
      </c>
      <c r="Q15" s="5" t="n">
        <v>0</v>
      </c>
      <c r="R15" s="5" t="n">
        <v>0</v>
      </c>
      <c r="S15" t="inlineStr"/>
    </row>
    <row r="16">
      <c r="A16" t="inlineStr">
        <is>
          <t>E15</t>
        </is>
      </c>
      <c r="B16" t="inlineStr">
        <is>
          <t>USDC raw (ALM idle)</t>
        </is>
      </c>
      <c r="C16" t="inlineStr">
        <is>
          <t>ethereum</t>
        </is>
      </c>
      <c r="D16" t="inlineStr">
        <is>
          <t>A</t>
        </is>
      </c>
      <c r="E16" s="5" t="n">
        <v>0</v>
      </c>
      <c r="F16" s="5" t="n">
        <v>0</v>
      </c>
      <c r="G16" s="5" t="n">
        <v>0</v>
      </c>
      <c r="H16" s="5" t="n">
        <v>-4e-21</v>
      </c>
      <c r="I16" s="5" t="n">
        <v>0</v>
      </c>
      <c r="J16" s="5" t="n">
        <v>-4e-21</v>
      </c>
      <c r="K16" s="5" t="n">
        <v>0</v>
      </c>
      <c r="L16" s="5" t="n">
        <v>3966608.499661194</v>
      </c>
      <c r="M16" s="6" t="n">
        <v>1</v>
      </c>
      <c r="N16" s="5" t="n">
        <v>12484.53209846021</v>
      </c>
      <c r="O16" s="5" t="n">
        <v>12484.53209846021</v>
      </c>
      <c r="P16" s="5" t="n">
        <v>-12484.53209846021</v>
      </c>
      <c r="Q16" s="5" t="n">
        <v>0</v>
      </c>
      <c r="R16" s="5" t="n">
        <v>0</v>
      </c>
      <c r="S16" t="inlineStr"/>
    </row>
    <row r="17">
      <c r="A17" t="inlineStr">
        <is>
          <t>E19</t>
        </is>
      </c>
      <c r="B17" t="inlineStr">
        <is>
          <t>Grove x Steakhouse USDC High Yield (Base, Morpho 4626)</t>
        </is>
      </c>
      <c r="C17" t="inlineStr">
        <is>
          <t>base</t>
        </is>
      </c>
      <c r="D17" t="inlineStr">
        <is>
          <t>B</t>
        </is>
      </c>
      <c r="E17" s="5" t="n">
        <v>1010849.948509241</v>
      </c>
      <c r="F17" s="5" t="n">
        <v>1014520.901611681</v>
      </c>
      <c r="G17" s="5" t="n">
        <v>3670.953102440081</v>
      </c>
      <c r="H17" s="5" t="n">
        <v>3670.953102440081</v>
      </c>
      <c r="I17" s="5" t="n">
        <v>0</v>
      </c>
      <c r="J17" s="5" t="n">
        <v>3670.953102440081</v>
      </c>
      <c r="K17" s="5" t="n">
        <v>0</v>
      </c>
      <c r="L17" s="5" t="n">
        <v>1010849.948509241</v>
      </c>
      <c r="M17" s="6" t="n">
        <v>1</v>
      </c>
      <c r="N17" s="5" t="n">
        <v>3181.556392562662</v>
      </c>
      <c r="O17" s="5" t="n">
        <v>3181.556392562662</v>
      </c>
      <c r="P17" s="5" t="n">
        <v>489.3967098774185</v>
      </c>
      <c r="Q17" s="5" t="n">
        <v>0</v>
      </c>
      <c r="R17" s="5" t="n">
        <v>0</v>
      </c>
      <c r="S17" t="inlineStr"/>
    </row>
    <row r="18">
      <c r="A18" t="inlineStr">
        <is>
          <t>E13</t>
        </is>
      </c>
      <c r="B18" t="inlineStr">
        <is>
          <t>RLUSD raw (ALM idle)</t>
        </is>
      </c>
      <c r="C18" t="inlineStr">
        <is>
          <t>ethereum</t>
        </is>
      </c>
      <c r="D18" t="inlineStr">
        <is>
          <t>A</t>
        </is>
      </c>
      <c r="E18" s="5" t="n">
        <v>0</v>
      </c>
      <c r="F18" s="5" t="n">
        <v>49596</v>
      </c>
      <c r="G18" s="5" t="n">
        <v>49596</v>
      </c>
      <c r="H18" s="5" t="n">
        <v>0</v>
      </c>
      <c r="I18" s="5" t="n">
        <v>0</v>
      </c>
      <c r="J18" s="5" t="n">
        <v>0</v>
      </c>
      <c r="K18" s="5" t="n">
        <v>0</v>
      </c>
      <c r="L18" s="5" t="n">
        <v>39996.77419354839</v>
      </c>
      <c r="M18" s="6" t="n">
        <v>1</v>
      </c>
      <c r="N18" s="5" t="n">
        <v>125.8861345395873</v>
      </c>
      <c r="O18" s="5" t="n">
        <v>125.8861345395873</v>
      </c>
      <c r="P18" s="5" t="n">
        <v>-125.8861345395873</v>
      </c>
      <c r="Q18" s="5" t="n">
        <v>0</v>
      </c>
      <c r="R18" s="5" t="n">
        <v>0</v>
      </c>
      <c r="S18" t="inlineStr"/>
    </row>
    <row r="19">
      <c r="A19" t="inlineStr">
        <is>
          <t>E31</t>
        </is>
      </c>
      <c r="B19" t="inlineStr">
        <is>
          <t>AUSD raw (alt holder idle)</t>
        </is>
      </c>
      <c r="C19" t="inlineStr">
        <is>
          <t>ethereum</t>
        </is>
      </c>
      <c r="D19" t="inlineStr">
        <is>
          <t>A</t>
        </is>
      </c>
      <c r="E19" s="5" t="n">
        <v>10068.978846</v>
      </c>
      <c r="F19" s="5" t="n">
        <v>10068.978846</v>
      </c>
      <c r="G19" s="5" t="n">
        <v>0</v>
      </c>
      <c r="H19" s="5" t="n">
        <v>0</v>
      </c>
      <c r="I19" s="5" t="n">
        <v>0</v>
      </c>
      <c r="J19" s="5" t="n">
        <v>0</v>
      </c>
      <c r="K19" s="5" t="n">
        <v>0</v>
      </c>
      <c r="L19" s="5" t="n">
        <v>10068.978846</v>
      </c>
      <c r="M19" s="6" t="n">
        <v>1</v>
      </c>
      <c r="N19" s="5" t="n">
        <v>31.69117638212619</v>
      </c>
      <c r="O19" s="5" t="n">
        <v>31.69117638212619</v>
      </c>
      <c r="P19" s="5" t="n">
        <v>-31.69117638212619</v>
      </c>
      <c r="Q19" s="5" t="n">
        <v>0</v>
      </c>
      <c r="R19" s="5" t="n">
        <v>0</v>
      </c>
      <c r="S19" t="inlineStr"/>
    </row>
    <row r="20">
      <c r="A20" t="inlineStr">
        <is>
          <t>E3</t>
        </is>
      </c>
      <c r="B20" t="inlineStr">
        <is>
          <t>Aave Ethereum RLUSD (aToken)</t>
        </is>
      </c>
      <c r="C20" t="inlineStr">
        <is>
          <t>ethereum</t>
        </is>
      </c>
      <c r="D20" t="inlineStr">
        <is>
          <t>C</t>
        </is>
      </c>
      <c r="E20" s="5" t="n">
        <v>0.3672154333303549</v>
      </c>
      <c r="F20" s="5" t="n">
        <v>0.3678698313420545</v>
      </c>
      <c r="G20" s="5" t="n">
        <v>0.000654398011699573</v>
      </c>
      <c r="H20" s="5" t="n">
        <v>0.000654398011699573</v>
      </c>
      <c r="I20" s="5" t="n">
        <v>0</v>
      </c>
      <c r="J20" s="5" t="n">
        <v>0.000654398011699573</v>
      </c>
      <c r="K20" s="5" t="n">
        <v>0</v>
      </c>
      <c r="L20" s="5" t="n">
        <v>0.3672154333303549</v>
      </c>
      <c r="M20" s="6" t="n">
        <v>1</v>
      </c>
      <c r="N20" s="5" t="n">
        <v>0.001155776493912715</v>
      </c>
      <c r="O20" s="5" t="n">
        <v>0.001155776493912715</v>
      </c>
      <c r="P20" s="5" t="n">
        <v>-0.0005013784822131424</v>
      </c>
      <c r="Q20" s="5" t="n">
        <v>0</v>
      </c>
      <c r="R20" s="5" t="n">
        <v>0</v>
      </c>
      <c r="S20" t="inlineStr"/>
    </row>
    <row r="21">
      <c r="A21" t="inlineStr">
        <is>
          <t>E2</t>
        </is>
      </c>
      <c r="B21" t="inlineStr">
        <is>
          <t>Aave Horizon RWA USDC (aToken)</t>
        </is>
      </c>
      <c r="C21" t="inlineStr">
        <is>
          <t>ethereum</t>
        </is>
      </c>
      <c r="D21" t="inlineStr">
        <is>
          <t>C</t>
        </is>
      </c>
      <c r="E21" s="5" t="n">
        <v>1e-06</v>
      </c>
      <c r="F21" s="5" t="n">
        <v>1e-06</v>
      </c>
      <c r="G21" s="5" t="n">
        <v>0</v>
      </c>
      <c r="H21" s="5" t="n">
        <v>0</v>
      </c>
      <c r="I21" s="5" t="n">
        <v>0</v>
      </c>
      <c r="J21" s="5" t="n">
        <v>0</v>
      </c>
      <c r="K21" s="5" t="n">
        <v>0</v>
      </c>
      <c r="L21" s="5" t="n">
        <v>1e-06</v>
      </c>
      <c r="M21" s="6" t="n">
        <v>1</v>
      </c>
      <c r="N21" s="5" t="n">
        <v>3.147407186649898e-09</v>
      </c>
      <c r="O21" s="5" t="n">
        <v>3.147407186649898e-09</v>
      </c>
      <c r="P21" s="5" t="n">
        <v>-3.147407186649898e-09</v>
      </c>
      <c r="Q21" s="5" t="n">
        <v>0</v>
      </c>
      <c r="R21" s="5" t="n">
        <v>0</v>
      </c>
      <c r="S21" t="inlineStr"/>
    </row>
    <row r="22">
      <c r="A22" t="inlineStr">
        <is>
          <t>E5</t>
        </is>
      </c>
      <c r="B22" t="inlineStr">
        <is>
          <t>Grove x Steakhouse USDC High Yield (Morpho 4626)</t>
        </is>
      </c>
      <c r="C22" t="inlineStr">
        <is>
          <t>ethereum</t>
        </is>
      </c>
      <c r="D22" t="inlineStr">
        <is>
          <t>B</t>
        </is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  <c r="J22" s="5" t="n">
        <v>0</v>
      </c>
      <c r="K22" s="5" t="n">
        <v>0</v>
      </c>
      <c r="L22" s="5" t="n">
        <v>0</v>
      </c>
      <c r="M22" s="6" t="n">
        <v>1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t="inlineStr"/>
    </row>
    <row r="23">
      <c r="A23" t="inlineStr">
        <is>
          <t>E30</t>
        </is>
      </c>
      <c r="B23" t="inlineStr">
        <is>
          <t>Uniswap V3 AUSD/USDC pool (NFT positions — alt holder)</t>
        </is>
      </c>
      <c r="C23" t="inlineStr">
        <is>
          <t>ethereum</t>
        </is>
      </c>
      <c r="D23" t="inlineStr">
        <is>
          <t>F</t>
        </is>
      </c>
      <c r="E23" s="5" t="n">
        <v>0</v>
      </c>
      <c r="F23" s="5" t="n">
        <v>0</v>
      </c>
      <c r="G23" s="5" t="n">
        <v>0</v>
      </c>
      <c r="H23" s="5" t="n">
        <v>0</v>
      </c>
      <c r="I23" s="5" t="n">
        <v>0</v>
      </c>
      <c r="J23" s="5" t="n">
        <v>0</v>
      </c>
      <c r="K23" s="5" t="n">
        <v>0</v>
      </c>
      <c r="L23" s="5" t="n">
        <v>0</v>
      </c>
      <c r="M23" s="6" t="n">
        <v>1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t="inlineStr"/>
    </row>
    <row r="24">
      <c r="A24" t="inlineStr">
        <is>
          <t>E32</t>
        </is>
      </c>
      <c r="B24" t="inlineStr">
        <is>
          <t>USDC raw (alt holder idle)</t>
        </is>
      </c>
      <c r="C24" t="inlineStr">
        <is>
          <t>ethereum</t>
        </is>
      </c>
      <c r="D24" t="inlineStr">
        <is>
          <t>A</t>
        </is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6" t="n">
        <v>1</v>
      </c>
      <c r="N24" s="5" t="n">
        <v>0</v>
      </c>
      <c r="O24" s="5" t="n">
        <v>0</v>
      </c>
      <c r="P24" s="5" t="n">
        <v>0</v>
      </c>
      <c r="Q24" s="5" t="n">
        <v>0</v>
      </c>
      <c r="R24" s="5" t="n">
        <v>0</v>
      </c>
      <c r="S24" t="inlineStr"/>
    </row>
    <row r="25">
      <c r="A25" t="inlineStr">
        <is>
          <t>E16</t>
        </is>
      </c>
      <c r="B25" t="inlineStr">
        <is>
          <t>DAI raw (ALM idle)</t>
        </is>
      </c>
      <c r="C25" t="inlineStr">
        <is>
          <t>ethereum</t>
        </is>
      </c>
      <c r="D25" t="inlineStr">
        <is>
          <t>A</t>
        </is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5" t="n">
        <v>0</v>
      </c>
      <c r="M25" s="6" t="n">
        <v>1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t="inlineStr"/>
    </row>
    <row r="26">
      <c r="A26" t="inlineStr">
        <is>
          <t>E17</t>
        </is>
      </c>
      <c r="B26" t="inlineStr">
        <is>
          <t>USDS raw / POL (ALM idle — already netted out of utilized)</t>
        </is>
      </c>
      <c r="C26" t="inlineStr">
        <is>
          <t>ethereum</t>
        </is>
      </c>
      <c r="D26" t="inlineStr">
        <is>
          <t>A</t>
        </is>
      </c>
      <c r="E26" s="5" t="n">
        <v>0</v>
      </c>
      <c r="F26" s="5" t="n">
        <v>0</v>
      </c>
      <c r="G26" s="5" t="n">
        <v>0</v>
      </c>
      <c r="H26" s="5" t="n">
        <v>0</v>
      </c>
      <c r="I26" s="5" t="n">
        <v>0</v>
      </c>
      <c r="J26" s="5" t="n">
        <v>0</v>
      </c>
      <c r="K26" s="5" t="n">
        <v>0</v>
      </c>
      <c r="L26" s="5" t="n">
        <v>0</v>
      </c>
      <c r="M26" s="6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t="inlineStr">
        <is>
          <t>CoF excluded (already deducted from utilized)</t>
        </is>
      </c>
    </row>
    <row r="27">
      <c r="A27" t="inlineStr">
        <is>
          <t>E18</t>
        </is>
      </c>
      <c r="B27" t="inlineStr">
        <is>
          <t>sUSDS raw / POL (ALM idle — Cat B 4626)</t>
        </is>
      </c>
      <c r="C27" t="inlineStr">
        <is>
          <t>ethereum</t>
        </is>
      </c>
      <c r="D27" t="inlineStr">
        <is>
          <t>B</t>
        </is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  <c r="M27" s="6" t="n">
        <v>1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t="inlineStr"/>
    </row>
    <row r="28">
      <c r="A28" t="inlineStr">
        <is>
          <t>E24</t>
        </is>
      </c>
      <c r="B28" t="inlineStr">
        <is>
          <t>Steakhouse High Yield PYUSD (Morpho 4626)</t>
        </is>
      </c>
      <c r="C28" t="inlineStr">
        <is>
          <t>ethereum</t>
        </is>
      </c>
      <c r="D28" t="inlineStr">
        <is>
          <t>B</t>
        </is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  <c r="M28" s="6" t="n">
        <v>1</v>
      </c>
      <c r="N28" s="5" t="n">
        <v>0</v>
      </c>
      <c r="O28" s="5" t="n">
        <v>0</v>
      </c>
      <c r="P28" s="5" t="n">
        <v>0</v>
      </c>
      <c r="Q28" s="5" t="n">
        <v>0</v>
      </c>
      <c r="R28" s="5" t="n">
        <v>0</v>
      </c>
      <c r="S28" t="inlineStr"/>
    </row>
    <row r="29">
      <c r="A29" t="inlineStr">
        <is>
          <t>E26</t>
        </is>
      </c>
      <c r="B29" t="inlineStr">
        <is>
          <t>PYUSD raw (ALM idle)</t>
        </is>
      </c>
      <c r="C29" t="inlineStr">
        <is>
          <t>ethereum</t>
        </is>
      </c>
      <c r="D29" t="inlineStr">
        <is>
          <t>A</t>
        </is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0</v>
      </c>
      <c r="L29" s="5" t="n">
        <v>0</v>
      </c>
      <c r="M29" s="6" t="n">
        <v>1</v>
      </c>
      <c r="N29" s="5" t="n">
        <v>0</v>
      </c>
      <c r="O29" s="5" t="n">
        <v>0</v>
      </c>
      <c r="P29" s="5" t="n">
        <v>0</v>
      </c>
      <c r="Q29" s="5" t="n">
        <v>0</v>
      </c>
      <c r="R29" s="5" t="n">
        <v>0</v>
      </c>
      <c r="S29" t="inlineStr"/>
    </row>
    <row r="30">
      <c r="A30" t="inlineStr">
        <is>
          <t>E27</t>
        </is>
      </c>
      <c r="B30" t="inlineStr">
        <is>
          <t>USDC raw on Base (ALM idle)</t>
        </is>
      </c>
      <c r="C30" t="inlineStr">
        <is>
          <t>base</t>
        </is>
      </c>
      <c r="D30" t="inlineStr">
        <is>
          <t>A</t>
        </is>
      </c>
      <c r="E30" s="5" t="n">
        <v>0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  <c r="M30" s="6" t="n">
        <v>1</v>
      </c>
      <c r="N30" s="5" t="n">
        <v>0</v>
      </c>
      <c r="O30" s="5" t="n">
        <v>0</v>
      </c>
      <c r="P30" s="5" t="n">
        <v>0</v>
      </c>
      <c r="Q30" s="5" t="n">
        <v>0</v>
      </c>
      <c r="R30" s="5" t="n">
        <v>0</v>
      </c>
      <c r="S30" t="inlineStr"/>
    </row>
    <row r="31">
      <c r="A31" t="inlineStr">
        <is>
          <t>E38</t>
        </is>
      </c>
      <c r="B31" t="inlineStr">
        <is>
          <t>Agora AUSD incentives (cash distribution to Grove Eth ALM)</t>
        </is>
      </c>
      <c r="C31" t="inlineStr">
        <is>
          <t>ethereum</t>
        </is>
      </c>
      <c r="D31" t="inlineStr">
        <is>
          <t>A</t>
        </is>
      </c>
      <c r="E31" s="5" t="n">
        <v>0</v>
      </c>
      <c r="F31" s="5" t="n">
        <v>0</v>
      </c>
      <c r="G31" s="5" t="n">
        <v>0</v>
      </c>
      <c r="H31" s="5" t="n">
        <v>398324.92</v>
      </c>
      <c r="I31" s="5" t="n">
        <v>0</v>
      </c>
      <c r="J31" s="5" t="n">
        <v>398324.92</v>
      </c>
      <c r="K31" s="5" t="n">
        <v>0</v>
      </c>
      <c r="L31" s="5" t="n">
        <v>0</v>
      </c>
      <c r="M31" s="6" t="n">
        <v>1</v>
      </c>
      <c r="N31" s="5" t="n">
        <v>0</v>
      </c>
      <c r="O31" s="5" t="n">
        <v>0</v>
      </c>
      <c r="P31" s="5" t="n">
        <v>398324.92</v>
      </c>
      <c r="Q31" s="5" t="n">
        <v>0</v>
      </c>
      <c r="R31" s="5" t="n">
        <v>0</v>
      </c>
      <c r="S31" t="inlineStr"/>
    </row>
    <row r="32">
      <c r="A32" t="inlineStr">
        <is>
          <t>E40</t>
        </is>
      </c>
      <c r="B32" t="inlineStr">
        <is>
          <t>USDS raw (Diamond PAU ALM idle)</t>
        </is>
      </c>
      <c r="C32" t="inlineStr">
        <is>
          <t>ethereum</t>
        </is>
      </c>
      <c r="D32" t="inlineStr">
        <is>
          <t>A</t>
        </is>
      </c>
      <c r="E32" s="5" t="n">
        <v>0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5" t="n">
        <v>0</v>
      </c>
      <c r="L32" s="5" t="n">
        <v>0</v>
      </c>
      <c r="M32" s="6" t="n">
        <v>1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t="inlineStr"/>
    </row>
    <row r="33">
      <c r="A33" t="inlineStr">
        <is>
          <t>E41</t>
        </is>
      </c>
      <c r="B33" t="inlineStr">
        <is>
          <t>JTRSY Basin escrow — USDS pending subscription (Diamond PAU)</t>
        </is>
      </c>
      <c r="C33" t="inlineStr">
        <is>
          <t>ethereum</t>
        </is>
      </c>
      <c r="D33" t="inlineStr">
        <is>
          <t>A</t>
        </is>
      </c>
      <c r="E33" s="5" t="n">
        <v>0</v>
      </c>
      <c r="F33" s="5" t="n">
        <v>0</v>
      </c>
      <c r="G33" s="5" t="n">
        <v>0</v>
      </c>
      <c r="H33" s="5" t="n">
        <v>0</v>
      </c>
      <c r="I33" s="5" t="n">
        <v>0</v>
      </c>
      <c r="J33" s="5" t="n">
        <v>0</v>
      </c>
      <c r="K33" s="5" t="n">
        <v>0</v>
      </c>
      <c r="L33" s="5" t="n">
        <v>0</v>
      </c>
      <c r="M33" s="6" t="n">
        <v>1</v>
      </c>
      <c r="N33" s="5" t="n">
        <v>0</v>
      </c>
      <c r="O33" s="5" t="n">
        <v>0</v>
      </c>
      <c r="P33" s="5" t="n">
        <v>0</v>
      </c>
      <c r="Q33" s="5" t="n">
        <v>0</v>
      </c>
      <c r="R33" s="5" t="n">
        <v>0</v>
      </c>
      <c r="S33" t="inlineStr"/>
    </row>
    <row r="34">
      <c r="A34" t="inlineStr">
        <is>
          <t>PSM_CURVE_DEDUCT</t>
        </is>
      </c>
      <c r="B34" t="inlineStr">
        <is>
          <t>PSM3 USDS + PSM3 USDC (SDE) + Curve idle USDS — BR deduction (unattributed)</t>
        </is>
      </c>
      <c r="C34" t="inlineStr"/>
      <c r="D34" t="inlineStr"/>
      <c r="E34" s="5" t="n">
        <v>0</v>
      </c>
      <c r="F34" s="5" t="n">
        <v>0</v>
      </c>
      <c r="G34" s="5" t="n">
        <v>0</v>
      </c>
      <c r="H34" s="5" t="n">
        <v>0</v>
      </c>
      <c r="I34" s="5" t="n">
        <v>0</v>
      </c>
      <c r="J34" s="5" t="n">
        <v>0</v>
      </c>
      <c r="K34" s="5" t="n">
        <v>0</v>
      </c>
      <c r="L34" s="5" t="n">
        <v>0</v>
      </c>
      <c r="M34" s="6" t="n">
        <v>0</v>
      </c>
      <c r="N34" s="5" t="n">
        <v>0</v>
      </c>
      <c r="O34" s="5" t="n">
        <v>0</v>
      </c>
      <c r="P34" s="5" t="n">
        <v>0</v>
      </c>
      <c r="Q34" s="5" t="n">
        <v>0</v>
      </c>
      <c r="R34" s="5" t="n">
        <v>0</v>
      </c>
      <c r="S34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4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7" t="inlineStr">
        <is>
          <t>Rates &amp; subsidy — effective rate charged this period</t>
        </is>
      </c>
    </row>
    <row r="4">
      <c r="A4" s="2" t="inlineStr">
        <is>
          <t>Metric</t>
        </is>
      </c>
      <c r="B4" s="2" t="inlineStr">
        <is>
          <t>Value</t>
        </is>
      </c>
    </row>
    <row r="5">
      <c r="A5" t="inlineStr">
        <is>
          <t>Time-weighted utilized</t>
        </is>
      </c>
      <c r="B5" s="5" t="n">
        <v>1070796625.540224</v>
      </c>
    </row>
    <row r="6">
      <c r="A6" t="inlineStr">
        <is>
          <t xml:space="preserve">  — first $1B (subsidised tranche)</t>
        </is>
      </c>
      <c r="B6" s="5" t="n">
        <v>997432546.824102</v>
      </c>
    </row>
    <row r="7">
      <c r="A7" t="inlineStr">
        <is>
          <t xml:space="preserve">  — excess (full base-rate tranche)</t>
        </is>
      </c>
      <c r="B7" s="5" t="n">
        <v>73364078.71612211</v>
      </c>
    </row>
    <row r="8">
      <c r="A8" t="inlineStr">
        <is>
          <t>Base rate (BR = SSR (+) spread; 30bps, 20bps from 2026-07-23), period avg</t>
        </is>
      </c>
      <c r="B8" s="6" t="n">
        <v>0.03951024672617314</v>
      </c>
    </row>
    <row r="9">
      <c r="A9" t="inlineStr">
        <is>
          <t>Reference rate (tbill_3m→sofr@2026-07-23), period avg</t>
        </is>
      </c>
      <c r="B9" s="6" t="n">
        <v>0.03685483870967742</v>
      </c>
    </row>
    <row r="10">
      <c r="A10" t="inlineStr">
        <is>
          <t>Subsidised rate (BR*), period avg</t>
        </is>
      </c>
      <c r="B10" s="6" t="n">
        <v>0.03729777196859994</v>
      </c>
    </row>
    <row r="11">
      <c r="A11" s="7" t="inlineStr">
        <is>
          <t>Effective blended rate charged</t>
        </is>
      </c>
      <c r="B11" s="8" t="n">
        <v>0.03744741878907706</v>
      </c>
    </row>
    <row r="12">
      <c r="A12" s="7" t="inlineStr">
        <is>
          <t>Diff vs base rate (bps)</t>
        </is>
      </c>
      <c r="B12" s="9" t="n">
        <v>-20.62827937096083</v>
      </c>
    </row>
    <row r="13">
      <c r="A13" s="7" t="inlineStr">
        <is>
          <t>Subsidy benefit to prime (USD)</t>
        </is>
      </c>
      <c r="B13" s="10" t="n">
        <v>180681.655360523</v>
      </c>
    </row>
    <row r="15">
      <c r="A15" t="inlineStr">
        <is>
          <t>CoF at full base rate (no subsidy)</t>
        </is>
      </c>
      <c r="B15" s="3" t="n">
        <v>3524251.177648756</v>
      </c>
    </row>
    <row r="16">
      <c r="A16" t="inlineStr">
        <is>
          <t xml:space="preserve">  − actual CoF (subsidy on first tranche)</t>
        </is>
      </c>
      <c r="B16" s="3" t="n">
        <v>3343569.522288233</v>
      </c>
    </row>
    <row r="17">
      <c r="A17" s="7" t="inlineStr">
        <is>
          <t xml:space="preserve">  = subsidy benefit</t>
        </is>
      </c>
      <c r="B17" s="10" t="n">
        <v>180681.655360523</v>
      </c>
    </row>
    <row r="19">
      <c r="A19" s="2" t="inlineStr">
        <is>
          <t>Tranche</t>
        </is>
      </c>
      <c r="B19" s="2" t="inlineStr">
        <is>
          <t>Avg balance</t>
        </is>
      </c>
      <c r="C19" s="2" t="inlineStr">
        <is>
          <t>CoF (USD)</t>
        </is>
      </c>
    </row>
    <row r="20">
      <c r="A20" t="inlineStr">
        <is>
          <t>Subsidised (first $1B)</t>
        </is>
      </c>
      <c r="B20" s="5" t="n">
        <v>997432546.824102</v>
      </c>
      <c r="C20" s="3" t="n">
        <v>3102268.836104926</v>
      </c>
    </row>
    <row r="21">
      <c r="A21" t="inlineStr">
        <is>
          <t>Excess (&gt; cap)</t>
        </is>
      </c>
      <c r="B21" s="5" t="n">
        <v>73364078.71612211</v>
      </c>
      <c r="C21" s="3" t="n">
        <v>241300.6861833077</v>
      </c>
    </row>
    <row r="23">
      <c r="A23" s="2" t="inlineStr">
        <is>
          <t>Component</t>
        </is>
      </c>
      <c r="B23" s="2" t="inlineStr">
        <is>
          <t>USD</t>
        </is>
      </c>
    </row>
    <row r="24">
      <c r="A24" t="inlineStr">
        <is>
          <t>CoF on utilized debt (= Σ_d max(utilized_d,0) × (1+BR_d)^(1/365)−1)</t>
        </is>
      </c>
      <c r="B24" s="3" t="n">
        <v>3343569.522288233</v>
      </c>
    </row>
    <row r="25">
      <c r="A25" t="inlineStr">
        <is>
          <t>+ Sky-Direct revenue (full venue yield on fixed/capped SDE)</t>
        </is>
      </c>
      <c r="B25" s="3" t="n">
        <v>5242531.28537233</v>
      </c>
    </row>
    <row r="26">
      <c r="A26" t="inlineStr">
        <is>
          <t>equals sky_revenue (total Sky take this month)</t>
        </is>
      </c>
      <c r="B26" s="3" t="n">
        <v>8586100.807660563</v>
      </c>
    </row>
    <row r="28">
      <c r="A28" s="11" t="inlineStr">
        <is>
          <t>Utilized base = cum_debt − idle USDS − PSM USDS − Σ SDE asset value − Curve idle − lending idle</t>
        </is>
      </c>
    </row>
    <row r="30">
      <c r="A30" s="7" t="inlineStr">
        <is>
          <t>Sky Revenue (max) — BR × full ilk debt (no deductions)</t>
        </is>
      </c>
      <c r="B30" s="3" t="n">
        <v>9531627.875473827</v>
      </c>
    </row>
    <row r="31">
      <c r="A31" t="inlineStr">
        <is>
          <t xml:space="preserve">    ↳ actual CoF on Net_Subs (BR × utilized)</t>
        </is>
      </c>
      <c r="B31" s="3" t="n">
        <v>3343569.522288233</v>
      </c>
    </row>
    <row r="32">
      <c r="A32" t="inlineStr">
        <is>
          <t xml:space="preserve">    ↳ reduction from idle/SDE deductions</t>
        </is>
      </c>
      <c r="B32" s="3" t="n">
        <v>-6188058.353185593</v>
      </c>
    </row>
    <row r="33" ht="60" customHeight="1">
      <c r="A33" s="12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35">
      <c r="A35" s="2" t="inlineStr">
        <is>
          <t>Subsidy</t>
        </is>
      </c>
      <c r="B35" s="2" t="inlineStr">
        <is>
          <t>Value</t>
        </is>
      </c>
    </row>
    <row r="36">
      <c r="A36" t="inlineStr">
        <is>
          <t>enabled</t>
        </is>
      </c>
      <c r="B36" t="inlineStr">
        <is>
          <t>true</t>
        </is>
      </c>
    </row>
    <row r="37">
      <c r="A37" t="inlineStr">
        <is>
          <t>cap_usd</t>
        </is>
      </c>
      <c r="B37" s="5" t="n">
        <v>1000000000</v>
      </c>
    </row>
    <row r="38">
      <c r="A38" t="inlineStr">
        <is>
          <t>program_start</t>
        </is>
      </c>
      <c r="B38" t="inlineStr">
        <is>
          <t>2026-01-01</t>
        </is>
      </c>
    </row>
    <row r="39">
      <c r="A39" t="inlineStr">
        <is>
          <t>ramp_months</t>
        </is>
      </c>
      <c r="B39" t="n">
        <v>24</v>
      </c>
    </row>
    <row r="40">
      <c r="A40" t="inlineStr">
        <is>
          <t>ref_rate_kind</t>
        </is>
      </c>
      <c r="B40" t="inlineStr">
        <is>
          <t>tbill_3m→sofr@2026-07-23</t>
        </is>
      </c>
    </row>
    <row r="41">
      <c r="A41" t="inlineStr">
        <is>
          <t>T this period</t>
        </is>
      </c>
      <c r="B41" t="inlineStr">
        <is>
          <t>4 (SoM) → 4 (EoM)</t>
        </is>
      </c>
    </row>
    <row r="42">
      <c r="A42" s="11" t="inlineStr">
        <is>
          <t>Formula</t>
        </is>
      </c>
      <c r="B42" t="inlineStr">
        <is>
          <t>subsidised_apy = ref_rate + (base_apy − ref_rate) × min(T, 24) / 24, applied to first cap_usd of utilized; excess at full base_apy</t>
        </is>
      </c>
    </row>
    <row r="44">
      <c r="A44" s="11" t="inlineStr">
        <is>
          <t>Base rate composition: base_apy = (1 + SSR)(1 + spread) − 1 (multiplicative; spread 30bps, 20bps from 2026-07-23)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E10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BUIDL on Eth</t>
        </is>
      </c>
      <c r="I4" s="5" t="n">
        <v>2470463.92</v>
      </c>
      <c r="J4" s="5" t="n">
        <v>2470463.92</v>
      </c>
    </row>
    <row r="5">
      <c r="A5" t="inlineStr">
        <is>
          <t>E9</t>
        </is>
      </c>
      <c r="B5" t="inlineStr">
        <is>
          <t>fixed</t>
        </is>
      </c>
      <c r="C5" t="inlineStr"/>
      <c r="D5" t="inlineStr">
        <is>
          <t>2025-10-30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A.2.2.9.1.1.1.1.1 — Treasury Bills</t>
        </is>
      </c>
      <c r="H5" t="inlineStr">
        <is>
          <t>JTRSY on Eth</t>
        </is>
      </c>
      <c r="I5" s="5" t="n">
        <v>2772067.36537233</v>
      </c>
      <c r="J5" s="5" t="n">
        <v>2772067.36537233</v>
      </c>
    </row>
    <row r="6">
      <c r="A6" t="inlineStr">
        <is>
          <t>E8</t>
        </is>
      </c>
      <c r="B6" t="inlineStr">
        <is>
          <t>capped</t>
        </is>
      </c>
      <c r="C6" s="5" t="n">
        <v>325000000</v>
      </c>
      <c r="D6" t="inlineStr">
        <is>
          <t>2025-10-23</t>
        </is>
      </c>
      <c r="E6" t="inlineStr">
        <is>
          <t>2026-03-12</t>
        </is>
      </c>
      <c r="F6" t="inlineStr">
        <is>
          <t>no</t>
        </is>
      </c>
      <c r="G6" t="inlineStr">
        <is>
          <t>Atlas A.2.2.9.1.1.1.1.3.0.6.1 — Historical SDE</t>
        </is>
      </c>
      <c r="H6" t="inlineStr">
        <is>
          <t>JAAA on Eth (≤ $325M)</t>
        </is>
      </c>
      <c r="I6" s="5" t="n">
        <v>495968.8736986459</v>
      </c>
      <c r="J6" s="5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2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(1+SSR)(1+spread)−1 (multiplicative; spread 30bps, 20bps from 2026-07-23).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2026-05-01</t>
        </is>
      </c>
      <c r="B6" s="5" t="n">
        <v>3181207993.751286</v>
      </c>
      <c r="C6" s="5" t="n">
        <v>-2.980232238769531e-08</v>
      </c>
      <c r="D6" s="5" t="n">
        <v>0</v>
      </c>
      <c r="E6" s="5" t="n">
        <v>2157378356.185151</v>
      </c>
      <c r="F6" s="5" t="n">
        <v>0</v>
      </c>
      <c r="G6" s="5" t="n">
        <v>0</v>
      </c>
      <c r="H6" s="5" t="n">
        <v>1023829637.566135</v>
      </c>
      <c r="I6" s="6" t="n">
        <v>0.03650000241537366</v>
      </c>
      <c r="J6" s="6" t="n">
        <v>0.03960950242261978</v>
      </c>
      <c r="K6" t="n">
        <v>4</v>
      </c>
      <c r="L6" s="6" t="n">
        <v>0.0368</v>
      </c>
      <c r="M6" s="6" t="n">
        <v>0.03726825040376996</v>
      </c>
      <c r="N6" s="3" t="n">
        <v>102789.3825737967</v>
      </c>
      <c r="O6" s="3" t="n">
        <v>332400.8238442471</v>
      </c>
    </row>
    <row r="7">
      <c r="A7" t="inlineStr">
        <is>
          <t>2026-05-02</t>
        </is>
      </c>
      <c r="B7" s="5" t="n">
        <v>3181207993.751286</v>
      </c>
      <c r="C7" s="5" t="n">
        <v>-2.980232238769531e-08</v>
      </c>
      <c r="D7" s="5" t="n">
        <v>0</v>
      </c>
      <c r="E7" s="5" t="n">
        <v>2157378356.185151</v>
      </c>
      <c r="F7" s="5" t="n">
        <v>0</v>
      </c>
      <c r="G7" s="5" t="n">
        <v>0</v>
      </c>
      <c r="H7" s="5" t="n">
        <v>1023829637.566135</v>
      </c>
      <c r="I7" s="6" t="n">
        <v>0.03650000241537366</v>
      </c>
      <c r="J7" s="6" t="n">
        <v>0.03960950242261978</v>
      </c>
      <c r="K7" t="n">
        <v>4</v>
      </c>
      <c r="L7" s="6" t="n">
        <v>0.0368</v>
      </c>
      <c r="M7" s="6" t="n">
        <v>0.03726825040376996</v>
      </c>
      <c r="N7" s="3" t="n">
        <v>102789.3825737967</v>
      </c>
      <c r="O7" s="3" t="n">
        <v>332400.8238442471</v>
      </c>
    </row>
    <row r="8">
      <c r="A8" t="inlineStr">
        <is>
          <t>2026-05-03</t>
        </is>
      </c>
      <c r="B8" s="5" t="n">
        <v>3181207993.751286</v>
      </c>
      <c r="C8" s="5" t="n">
        <v>-2.980232238769531e-08</v>
      </c>
      <c r="D8" s="5" t="n">
        <v>0</v>
      </c>
      <c r="E8" s="5" t="n">
        <v>2157378356.185151</v>
      </c>
      <c r="F8" s="5" t="n">
        <v>0</v>
      </c>
      <c r="G8" s="5" t="n">
        <v>0</v>
      </c>
      <c r="H8" s="5" t="n">
        <v>1023829637.566135</v>
      </c>
      <c r="I8" s="6" t="n">
        <v>0.03650000241537366</v>
      </c>
      <c r="J8" s="6" t="n">
        <v>0.03960950242261978</v>
      </c>
      <c r="K8" t="n">
        <v>4</v>
      </c>
      <c r="L8" s="6" t="n">
        <v>0.0368</v>
      </c>
      <c r="M8" s="6" t="n">
        <v>0.03726825040376996</v>
      </c>
      <c r="N8" s="3" t="n">
        <v>102789.3825737967</v>
      </c>
      <c r="O8" s="3" t="n">
        <v>332400.8238442471</v>
      </c>
    </row>
    <row r="9">
      <c r="A9" t="inlineStr">
        <is>
          <t>2026-05-04</t>
        </is>
      </c>
      <c r="B9" s="5" t="n">
        <v>3131188095.712601</v>
      </c>
      <c r="C9" s="5" t="n">
        <v>-2.980232238769531e-08</v>
      </c>
      <c r="D9" s="5" t="n">
        <v>0</v>
      </c>
      <c r="E9" s="5" t="n">
        <v>2107995728.578282</v>
      </c>
      <c r="F9" s="5" t="n">
        <v>0</v>
      </c>
      <c r="G9" s="5" t="n">
        <v>0</v>
      </c>
      <c r="H9" s="5" t="n">
        <v>1023192367.134319</v>
      </c>
      <c r="I9" s="6" t="n">
        <v>0.03650000241537366</v>
      </c>
      <c r="J9" s="6" t="n">
        <v>0.03960950242261978</v>
      </c>
      <c r="K9" t="n">
        <v>4</v>
      </c>
      <c r="L9" s="6" t="n">
        <v>0.037</v>
      </c>
      <c r="M9" s="6" t="n">
        <v>0.03743491707043663</v>
      </c>
      <c r="N9" s="3" t="n">
        <v>103161.7812172811</v>
      </c>
      <c r="O9" s="3" t="n">
        <v>327517.3913693619</v>
      </c>
    </row>
    <row r="10">
      <c r="A10" t="inlineStr">
        <is>
          <t>2026-05-05</t>
        </is>
      </c>
      <c r="B10" s="5" t="n">
        <v>3081184251.809235</v>
      </c>
      <c r="C10" s="5" t="n">
        <v>-2.980232238769531e-08</v>
      </c>
      <c r="D10" s="5" t="n">
        <v>0</v>
      </c>
      <c r="E10" s="5" t="n">
        <v>2108176318.298201</v>
      </c>
      <c r="F10" s="5" t="n">
        <v>0</v>
      </c>
      <c r="G10" s="5" t="n">
        <v>0</v>
      </c>
      <c r="H10" s="5" t="n">
        <v>973007933.5110337</v>
      </c>
      <c r="I10" s="6" t="n">
        <v>0.03650000241537366</v>
      </c>
      <c r="J10" s="6" t="n">
        <v>0.03960950242261978</v>
      </c>
      <c r="K10" t="n">
        <v>4</v>
      </c>
      <c r="L10" s="6" t="n">
        <v>0.0369</v>
      </c>
      <c r="M10" s="6" t="n">
        <v>0.0373515837371033</v>
      </c>
      <c r="N10" s="3" t="n">
        <v>97761.31470851351</v>
      </c>
      <c r="O10" s="3" t="n">
        <v>321975.3406253316</v>
      </c>
    </row>
    <row r="11">
      <c r="A11" t="inlineStr">
        <is>
          <t>2026-05-06</t>
        </is>
      </c>
      <c r="B11" s="5" t="n">
        <v>3082184251.809235</v>
      </c>
      <c r="C11" s="5" t="n">
        <v>-2.980232238769531e-08</v>
      </c>
      <c r="D11" s="5" t="n">
        <v>0</v>
      </c>
      <c r="E11" s="5" t="n">
        <v>2108380391.252974</v>
      </c>
      <c r="F11" s="5" t="n">
        <v>0</v>
      </c>
      <c r="G11" s="5" t="n">
        <v>0</v>
      </c>
      <c r="H11" s="5" t="n">
        <v>973803860.5562611</v>
      </c>
      <c r="I11" s="6" t="n">
        <v>0.03650000241537366</v>
      </c>
      <c r="J11" s="6" t="n">
        <v>0.03960950242261978</v>
      </c>
      <c r="K11" t="n">
        <v>4</v>
      </c>
      <c r="L11" s="6" t="n">
        <v>0.0369</v>
      </c>
      <c r="M11" s="6" t="n">
        <v>0.0373515837371033</v>
      </c>
      <c r="N11" s="3" t="n">
        <v>97841.28412260936</v>
      </c>
      <c r="O11" s="3" t="n">
        <v>322081.771396092</v>
      </c>
    </row>
    <row r="12">
      <c r="A12" t="inlineStr">
        <is>
          <t>2026-05-07</t>
        </is>
      </c>
      <c r="B12" s="5" t="n">
        <v>3082184251.809235</v>
      </c>
      <c r="C12" s="5" t="n">
        <v>-2.980232238769531e-08</v>
      </c>
      <c r="D12" s="5" t="n">
        <v>0</v>
      </c>
      <c r="E12" s="5" t="n">
        <v>2108587094.329367</v>
      </c>
      <c r="F12" s="5" t="n">
        <v>0</v>
      </c>
      <c r="G12" s="5" t="n">
        <v>0</v>
      </c>
      <c r="H12" s="5" t="n">
        <v>973597157.4798684</v>
      </c>
      <c r="I12" s="6" t="n">
        <v>0.03650000241537366</v>
      </c>
      <c r="J12" s="6" t="n">
        <v>0.03960950242261978</v>
      </c>
      <c r="K12" t="n">
        <v>4</v>
      </c>
      <c r="L12" s="6" t="n">
        <v>0.0369</v>
      </c>
      <c r="M12" s="6" t="n">
        <v>0.0373515837371033</v>
      </c>
      <c r="N12" s="3" t="n">
        <v>97820.51598310456</v>
      </c>
      <c r="O12" s="3" t="n">
        <v>322081.771396092</v>
      </c>
    </row>
    <row r="13">
      <c r="A13" t="inlineStr">
        <is>
          <t>2026-05-08</t>
        </is>
      </c>
      <c r="B13" s="5" t="n">
        <v>3131184327.976176</v>
      </c>
      <c r="C13" s="5" t="n">
        <v>-2.980232238769531e-08</v>
      </c>
      <c r="D13" s="5" t="n">
        <v>0</v>
      </c>
      <c r="E13" s="5" t="n">
        <v>2108788245.613199</v>
      </c>
      <c r="F13" s="5" t="n">
        <v>0</v>
      </c>
      <c r="G13" s="5" t="n">
        <v>0</v>
      </c>
      <c r="H13" s="5" t="n">
        <v>1022396082.362976</v>
      </c>
      <c r="I13" s="6" t="n">
        <v>0.03650000241537366</v>
      </c>
      <c r="J13" s="6" t="n">
        <v>0.03960950242261978</v>
      </c>
      <c r="K13" t="n">
        <v>4</v>
      </c>
      <c r="L13" s="6" t="n">
        <v>0.0369</v>
      </c>
      <c r="M13" s="6" t="n">
        <v>0.0373515837371033</v>
      </c>
      <c r="N13" s="3" t="n">
        <v>102856.9289189069</v>
      </c>
      <c r="O13" s="3" t="n">
        <v>327296.8872698547</v>
      </c>
    </row>
    <row r="14">
      <c r="A14" t="inlineStr">
        <is>
          <t>2026-05-09</t>
        </is>
      </c>
      <c r="B14" s="5" t="n">
        <v>3131184327.976176</v>
      </c>
      <c r="C14" s="5" t="n">
        <v>-2.980232238769531e-08</v>
      </c>
      <c r="D14" s="5" t="n">
        <v>0</v>
      </c>
      <c r="E14" s="5" t="n">
        <v>2108788245.613199</v>
      </c>
      <c r="F14" s="5" t="n">
        <v>0</v>
      </c>
      <c r="G14" s="5" t="n">
        <v>0</v>
      </c>
      <c r="H14" s="5" t="n">
        <v>1022396082.362976</v>
      </c>
      <c r="I14" s="6" t="n">
        <v>0.03650000241537366</v>
      </c>
      <c r="J14" s="6" t="n">
        <v>0.03960950242261978</v>
      </c>
      <c r="K14" t="n">
        <v>4</v>
      </c>
      <c r="L14" s="6" t="n">
        <v>0.0369</v>
      </c>
      <c r="M14" s="6" t="n">
        <v>0.0373515837371033</v>
      </c>
      <c r="N14" s="3" t="n">
        <v>102856.9289189069</v>
      </c>
      <c r="O14" s="3" t="n">
        <v>327296.8872698547</v>
      </c>
    </row>
    <row r="15">
      <c r="A15" t="inlineStr">
        <is>
          <t>2026-05-10</t>
        </is>
      </c>
      <c r="B15" s="5" t="n">
        <v>3131184327.976176</v>
      </c>
      <c r="C15" s="5" t="n">
        <v>-2.980232238769531e-08</v>
      </c>
      <c r="D15" s="5" t="n">
        <v>0</v>
      </c>
      <c r="E15" s="5" t="n">
        <v>2108788245.613199</v>
      </c>
      <c r="F15" s="5" t="n">
        <v>0</v>
      </c>
      <c r="G15" s="5" t="n">
        <v>0</v>
      </c>
      <c r="H15" s="5" t="n">
        <v>1022396082.362976</v>
      </c>
      <c r="I15" s="6" t="n">
        <v>0.03650000241537366</v>
      </c>
      <c r="J15" s="6" t="n">
        <v>0.03960950242261978</v>
      </c>
      <c r="K15" t="n">
        <v>4</v>
      </c>
      <c r="L15" s="6" t="n">
        <v>0.0369</v>
      </c>
      <c r="M15" s="6" t="n">
        <v>0.0373515837371033</v>
      </c>
      <c r="N15" s="3" t="n">
        <v>102856.9289189069</v>
      </c>
      <c r="O15" s="3" t="n">
        <v>327296.8872698547</v>
      </c>
    </row>
    <row r="16">
      <c r="A16" t="inlineStr">
        <is>
          <t>2026-05-11</t>
        </is>
      </c>
      <c r="B16" s="5" t="n">
        <v>3148116029.450206</v>
      </c>
      <c r="C16" s="5" t="n">
        <v>-1.490116119384766e-08</v>
      </c>
      <c r="D16" s="5" t="n">
        <v>0</v>
      </c>
      <c r="E16" s="5" t="n">
        <v>2059385339.259129</v>
      </c>
      <c r="F16" s="5" t="n">
        <v>0</v>
      </c>
      <c r="G16" s="5" t="n">
        <v>0</v>
      </c>
      <c r="H16" s="5" t="n">
        <v>1088730690.191077</v>
      </c>
      <c r="I16" s="6" t="n">
        <v>0.03650000241537366</v>
      </c>
      <c r="J16" s="6" t="n">
        <v>0.03960950242261978</v>
      </c>
      <c r="K16" t="n">
        <v>4</v>
      </c>
      <c r="L16" s="6" t="n">
        <v>0.037</v>
      </c>
      <c r="M16" s="6" t="n">
        <v>0.03743491707043663</v>
      </c>
      <c r="N16" s="3" t="n">
        <v>110137.0754545517</v>
      </c>
      <c r="O16" s="3" t="n">
        <v>329319.0444044351</v>
      </c>
    </row>
    <row r="17">
      <c r="A17" t="inlineStr">
        <is>
          <t>2026-05-12</t>
        </is>
      </c>
      <c r="B17" s="5" t="n">
        <v>3125114749.761749</v>
      </c>
      <c r="C17" s="5" t="n">
        <v>-1.490116119384766e-08</v>
      </c>
      <c r="D17" s="5" t="n">
        <v>0</v>
      </c>
      <c r="E17" s="5" t="n">
        <v>2059556797.052049</v>
      </c>
      <c r="F17" s="5" t="n">
        <v>0</v>
      </c>
      <c r="G17" s="5" t="n">
        <v>0</v>
      </c>
      <c r="H17" s="5" t="n">
        <v>1065557952.7097</v>
      </c>
      <c r="I17" s="6" t="n">
        <v>0.03650000241537366</v>
      </c>
      <c r="J17" s="6" t="n">
        <v>0.03960950242261978</v>
      </c>
      <c r="K17" t="n">
        <v>4</v>
      </c>
      <c r="L17" s="6" t="n">
        <v>0.037</v>
      </c>
      <c r="M17" s="6" t="n">
        <v>0.03743491707043663</v>
      </c>
      <c r="N17" s="3" t="n">
        <v>107670.7831437818</v>
      </c>
      <c r="O17" s="3" t="n">
        <v>326871.0004787185</v>
      </c>
    </row>
    <row r="18">
      <c r="A18" t="inlineStr">
        <is>
          <t>2026-05-13</t>
        </is>
      </c>
      <c r="B18" s="5" t="n">
        <v>3098127250.207238</v>
      </c>
      <c r="C18" s="5" t="n">
        <v>-1.490116119384766e-08</v>
      </c>
      <c r="D18" s="5" t="n">
        <v>0</v>
      </c>
      <c r="E18" s="5" t="n">
        <v>2009741160.351841</v>
      </c>
      <c r="F18" s="5" t="n">
        <v>0</v>
      </c>
      <c r="G18" s="5" t="n">
        <v>0</v>
      </c>
      <c r="H18" s="5" t="n">
        <v>1088386089.855397</v>
      </c>
      <c r="I18" s="6" t="n">
        <v>0.03650000241537366</v>
      </c>
      <c r="J18" s="6" t="n">
        <v>0.03960950242261978</v>
      </c>
      <c r="K18" t="n">
        <v>4</v>
      </c>
      <c r="L18" s="6" t="n">
        <v>0.0369</v>
      </c>
      <c r="M18" s="6" t="n">
        <v>0.0373515837371033</v>
      </c>
      <c r="N18" s="3" t="n">
        <v>109880.2962788055</v>
      </c>
      <c r="O18" s="3" t="n">
        <v>323778.5970038222</v>
      </c>
    </row>
    <row r="19">
      <c r="A19" t="inlineStr">
        <is>
          <t>2026-05-14</t>
        </is>
      </c>
      <c r="B19" s="5" t="n">
        <v>3049133870.855949</v>
      </c>
      <c r="C19" s="5" t="n">
        <v>-1.490116119384766e-08</v>
      </c>
      <c r="D19" s="5" t="n">
        <v>0</v>
      </c>
      <c r="E19" s="5" t="n">
        <v>1959927297.217484</v>
      </c>
      <c r="F19" s="5" t="n">
        <v>0</v>
      </c>
      <c r="G19" s="5" t="n">
        <v>0</v>
      </c>
      <c r="H19" s="5" t="n">
        <v>1089206573.638465</v>
      </c>
      <c r="I19" s="6" t="n">
        <v>0.03650000241537366</v>
      </c>
      <c r="J19" s="6" t="n">
        <v>0.03960950242261978</v>
      </c>
      <c r="K19" t="n">
        <v>4</v>
      </c>
      <c r="L19" s="6" t="n">
        <v>0.0369</v>
      </c>
      <c r="M19" s="6" t="n">
        <v>0.0373515837371033</v>
      </c>
      <c r="N19" s="3" t="n">
        <v>109967.6210002338</v>
      </c>
      <c r="O19" s="3" t="n">
        <v>318564.1938773111</v>
      </c>
    </row>
    <row r="20">
      <c r="A20" t="inlineStr">
        <is>
          <t>2026-05-15</t>
        </is>
      </c>
      <c r="B20" s="5" t="n">
        <v>3024125399.936529</v>
      </c>
      <c r="C20" s="5" t="n">
        <v>-1.490116119384766e-08</v>
      </c>
      <c r="D20" s="5" t="n">
        <v>0</v>
      </c>
      <c r="E20" s="5" t="n">
        <v>1910113487.975783</v>
      </c>
      <c r="F20" s="5" t="n">
        <v>0</v>
      </c>
      <c r="G20" s="5" t="n">
        <v>0</v>
      </c>
      <c r="H20" s="5" t="n">
        <v>1114011911.960746</v>
      </c>
      <c r="I20" s="6" t="n">
        <v>0.03650000241537366</v>
      </c>
      <c r="J20" s="6" t="n">
        <v>0.03960950242261978</v>
      </c>
      <c r="K20" t="n">
        <v>4</v>
      </c>
      <c r="L20" s="6" t="n">
        <v>0.0369</v>
      </c>
      <c r="M20" s="6" t="n">
        <v>0.0373515837371033</v>
      </c>
      <c r="N20" s="3" t="n">
        <v>112607.672276845</v>
      </c>
      <c r="O20" s="3" t="n">
        <v>315902.5230418197</v>
      </c>
    </row>
    <row r="21">
      <c r="A21" t="inlineStr">
        <is>
          <t>2026-05-16</t>
        </is>
      </c>
      <c r="B21" s="5" t="n">
        <v>3024125399.936529</v>
      </c>
      <c r="C21" s="5" t="n">
        <v>-1.490116119384766e-08</v>
      </c>
      <c r="D21" s="5" t="n">
        <v>0</v>
      </c>
      <c r="E21" s="5" t="n">
        <v>1910113487.975783</v>
      </c>
      <c r="F21" s="5" t="n">
        <v>0</v>
      </c>
      <c r="G21" s="5" t="n">
        <v>0</v>
      </c>
      <c r="H21" s="5" t="n">
        <v>1114011911.960746</v>
      </c>
      <c r="I21" s="6" t="n">
        <v>0.03650000241537366</v>
      </c>
      <c r="J21" s="6" t="n">
        <v>0.03960950242261978</v>
      </c>
      <c r="K21" t="n">
        <v>4</v>
      </c>
      <c r="L21" s="6" t="n">
        <v>0.0369</v>
      </c>
      <c r="M21" s="6" t="n">
        <v>0.0373515837371033</v>
      </c>
      <c r="N21" s="3" t="n">
        <v>112607.672276845</v>
      </c>
      <c r="O21" s="3" t="n">
        <v>315902.5230418197</v>
      </c>
    </row>
    <row r="22">
      <c r="A22" t="inlineStr">
        <is>
          <t>2026-05-17</t>
        </is>
      </c>
      <c r="B22" s="5" t="n">
        <v>3024125399.936529</v>
      </c>
      <c r="C22" s="5" t="n">
        <v>-1.490116119384766e-08</v>
      </c>
      <c r="D22" s="5" t="n">
        <v>0</v>
      </c>
      <c r="E22" s="5" t="n">
        <v>1910113487.975783</v>
      </c>
      <c r="F22" s="5" t="n">
        <v>0</v>
      </c>
      <c r="G22" s="5" t="n">
        <v>0</v>
      </c>
      <c r="H22" s="5" t="n">
        <v>1114011911.960746</v>
      </c>
      <c r="I22" s="6" t="n">
        <v>0.03650000241537366</v>
      </c>
      <c r="J22" s="6" t="n">
        <v>0.03960950242261978</v>
      </c>
      <c r="K22" t="n">
        <v>4</v>
      </c>
      <c r="L22" s="6" t="n">
        <v>0.0369</v>
      </c>
      <c r="M22" s="6" t="n">
        <v>0.0373515837371033</v>
      </c>
      <c r="N22" s="3" t="n">
        <v>112607.672276845</v>
      </c>
      <c r="O22" s="3" t="n">
        <v>315902.5230418197</v>
      </c>
    </row>
    <row r="23">
      <c r="A23" t="inlineStr">
        <is>
          <t>2026-05-18</t>
        </is>
      </c>
      <c r="B23" s="5" t="n">
        <v>3024125399.936529</v>
      </c>
      <c r="C23" s="5" t="n">
        <v>-1.490116119384766e-08</v>
      </c>
      <c r="D23" s="5" t="n">
        <v>0</v>
      </c>
      <c r="E23" s="5" t="n">
        <v>1860660881.766952</v>
      </c>
      <c r="F23" s="5" t="n">
        <v>0</v>
      </c>
      <c r="G23" s="5" t="n">
        <v>0</v>
      </c>
      <c r="H23" s="5" t="n">
        <v>1163464518.169577</v>
      </c>
      <c r="I23" s="6" t="n">
        <v>0.03650000241537366</v>
      </c>
      <c r="J23" s="6" t="n">
        <v>0.03960950242261978</v>
      </c>
      <c r="K23" t="n">
        <v>4</v>
      </c>
      <c r="L23" s="6" t="n">
        <v>0.0368</v>
      </c>
      <c r="M23" s="6" t="n">
        <v>0.03726825040376996</v>
      </c>
      <c r="N23" s="3" t="n">
        <v>117650.8305414484</v>
      </c>
      <c r="O23" s="3" t="n">
        <v>315682.4023115099</v>
      </c>
    </row>
    <row r="24">
      <c r="A24" t="inlineStr">
        <is>
          <t>2026-05-19</t>
        </is>
      </c>
      <c r="B24" s="5" t="n">
        <v>2927122353.803659</v>
      </c>
      <c r="C24" s="5" t="n">
        <v>-1.490116119384766e-08</v>
      </c>
      <c r="D24" s="5" t="n">
        <v>0</v>
      </c>
      <c r="E24" s="5" t="n">
        <v>1810853021.191645</v>
      </c>
      <c r="F24" s="5" t="n">
        <v>0</v>
      </c>
      <c r="G24" s="5" t="n">
        <v>0</v>
      </c>
      <c r="H24" s="5" t="n">
        <v>1116269332.612014</v>
      </c>
      <c r="I24" s="6" t="n">
        <v>0.03650000241537366</v>
      </c>
      <c r="J24" s="6" t="n">
        <v>0.03960950242261978</v>
      </c>
      <c r="K24" t="n">
        <v>4</v>
      </c>
      <c r="L24" s="6" t="n">
        <v>0.0367</v>
      </c>
      <c r="M24" s="6" t="n">
        <v>0.03718491707043663</v>
      </c>
      <c r="N24" s="3" t="n">
        <v>112407.6721995111</v>
      </c>
      <c r="O24" s="3" t="n">
        <v>305138.1549786194</v>
      </c>
    </row>
    <row r="25">
      <c r="A25" t="inlineStr">
        <is>
          <t>2026-05-20</t>
        </is>
      </c>
      <c r="B25" s="5" t="n">
        <v>2857131781.923406</v>
      </c>
      <c r="C25" s="5" t="n">
        <v>-1.490116119384766e-08</v>
      </c>
      <c r="D25" s="5" t="n">
        <v>0</v>
      </c>
      <c r="E25" s="5" t="n">
        <v>1761032914.681363</v>
      </c>
      <c r="F25" s="5" t="n">
        <v>0</v>
      </c>
      <c r="G25" s="5" t="n">
        <v>0</v>
      </c>
      <c r="H25" s="5" t="n">
        <v>1096098867.242043</v>
      </c>
      <c r="I25" s="6" t="n">
        <v>0.03650000241537366</v>
      </c>
      <c r="J25" s="6" t="n">
        <v>0.03960950242261978</v>
      </c>
      <c r="K25" t="n">
        <v>4</v>
      </c>
      <c r="L25" s="6" t="n">
        <v>0.0365</v>
      </c>
      <c r="M25" s="6" t="n">
        <v>0.03701825040376996</v>
      </c>
      <c r="N25" s="3" t="n">
        <v>109820.5843690742</v>
      </c>
      <c r="O25" s="3" t="n">
        <v>297248.6748129312</v>
      </c>
    </row>
    <row r="26">
      <c r="A26" t="inlineStr">
        <is>
          <t>2026-05-21</t>
        </is>
      </c>
      <c r="B26" s="5" t="n">
        <v>2811136939.007828</v>
      </c>
      <c r="C26" s="5" t="n">
        <v>-1.490116119384766e-08</v>
      </c>
      <c r="D26" s="5" t="n">
        <v>0</v>
      </c>
      <c r="E26" s="5" t="n">
        <v>1711214017.535519</v>
      </c>
      <c r="F26" s="5" t="n">
        <v>0</v>
      </c>
      <c r="G26" s="5" t="n">
        <v>0</v>
      </c>
      <c r="H26" s="5" t="n">
        <v>1099922921.472309</v>
      </c>
      <c r="I26" s="6" t="n">
        <v>0.03650000241537366</v>
      </c>
      <c r="J26" s="6" t="n">
        <v>0.03960950242261978</v>
      </c>
      <c r="K26" t="n">
        <v>4</v>
      </c>
      <c r="L26" s="6" t="n">
        <v>0.0368</v>
      </c>
      <c r="M26" s="6" t="n">
        <v>0.03726825040376996</v>
      </c>
      <c r="N26" s="3" t="n">
        <v>110888.0494296158</v>
      </c>
      <c r="O26" s="3" t="n">
        <v>293013.8762518107</v>
      </c>
    </row>
    <row r="27">
      <c r="A27" t="inlineStr">
        <is>
          <t>2026-05-22</t>
        </is>
      </c>
      <c r="B27" s="5" t="n">
        <v>2757146240.743185</v>
      </c>
      <c r="C27" s="5" t="n">
        <v>-1.490116119384766e-08</v>
      </c>
      <c r="D27" s="5" t="n">
        <v>0</v>
      </c>
      <c r="E27" s="5" t="n">
        <v>1661341147.920374</v>
      </c>
      <c r="F27" s="5" t="n">
        <v>0</v>
      </c>
      <c r="G27" s="5" t="n">
        <v>0</v>
      </c>
      <c r="H27" s="5" t="n">
        <v>1095805092.822811</v>
      </c>
      <c r="I27" s="6" t="n">
        <v>0.03650000241537366</v>
      </c>
      <c r="J27" s="6" t="n">
        <v>0.03960950242261978</v>
      </c>
      <c r="K27" t="n">
        <v>4</v>
      </c>
      <c r="L27" s="6" t="n">
        <v>0.0368</v>
      </c>
      <c r="M27" s="6" t="n">
        <v>0.03726825040376996</v>
      </c>
      <c r="N27" s="3" t="n">
        <v>110449.7857525907</v>
      </c>
      <c r="O27" s="3" t="n">
        <v>287267.6046216161</v>
      </c>
    </row>
    <row r="28">
      <c r="A28" t="inlineStr">
        <is>
          <t>2026-05-23</t>
        </is>
      </c>
      <c r="B28" s="5" t="n">
        <v>2758146240.743185</v>
      </c>
      <c r="C28" s="5" t="n">
        <v>-1.490116119384766e-08</v>
      </c>
      <c r="D28" s="5" t="n">
        <v>0</v>
      </c>
      <c r="E28" s="5" t="n">
        <v>1661341147.920374</v>
      </c>
      <c r="F28" s="5" t="n">
        <v>0</v>
      </c>
      <c r="G28" s="5" t="n">
        <v>0</v>
      </c>
      <c r="H28" s="5" t="n">
        <v>1096805092.822811</v>
      </c>
      <c r="I28" s="6" t="n">
        <v>0.03650000241537366</v>
      </c>
      <c r="J28" s="6" t="n">
        <v>0.03960950242261978</v>
      </c>
      <c r="K28" t="n">
        <v>4</v>
      </c>
      <c r="L28" s="6" t="n">
        <v>0.0368</v>
      </c>
      <c r="M28" s="6" t="n">
        <v>0.03726825040376996</v>
      </c>
      <c r="N28" s="3" t="n">
        <v>110556.2165233511</v>
      </c>
      <c r="O28" s="3" t="n">
        <v>287374.0353923764</v>
      </c>
    </row>
    <row r="29">
      <c r="A29" t="inlineStr">
        <is>
          <t>2026-05-24</t>
        </is>
      </c>
      <c r="B29" s="5" t="n">
        <v>2760146240.743185</v>
      </c>
      <c r="C29" s="5" t="n">
        <v>-1.490116119384766e-08</v>
      </c>
      <c r="D29" s="5" t="n">
        <v>0</v>
      </c>
      <c r="E29" s="5" t="n">
        <v>1661341147.920374</v>
      </c>
      <c r="F29" s="5" t="n">
        <v>0</v>
      </c>
      <c r="G29" s="5" t="n">
        <v>0</v>
      </c>
      <c r="H29" s="5" t="n">
        <v>1098805092.822811</v>
      </c>
      <c r="I29" s="6" t="n">
        <v>0.03650000241537366</v>
      </c>
      <c r="J29" s="6" t="n">
        <v>0.03960950242261978</v>
      </c>
      <c r="K29" t="n">
        <v>4</v>
      </c>
      <c r="L29" s="6" t="n">
        <v>0.0368</v>
      </c>
      <c r="M29" s="6" t="n">
        <v>0.03726825040376996</v>
      </c>
      <c r="N29" s="3" t="n">
        <v>110769.0780648717</v>
      </c>
      <c r="O29" s="3" t="n">
        <v>287586.8969338971</v>
      </c>
    </row>
    <row r="30">
      <c r="A30" t="inlineStr">
        <is>
          <t>2026-05-25</t>
        </is>
      </c>
      <c r="B30" s="5" t="n">
        <v>2763146240.743185</v>
      </c>
      <c r="C30" s="5" t="n">
        <v>-1.490116119384766e-08</v>
      </c>
      <c r="D30" s="5" t="n">
        <v>0</v>
      </c>
      <c r="E30" s="5" t="n">
        <v>1661657204.096318</v>
      </c>
      <c r="F30" s="5" t="n">
        <v>0</v>
      </c>
      <c r="G30" s="5" t="n">
        <v>0</v>
      </c>
      <c r="H30" s="5" t="n">
        <v>1101489036.646868</v>
      </c>
      <c r="I30" s="6" t="n">
        <v>0.03650000241537366</v>
      </c>
      <c r="J30" s="6" t="n">
        <v>0.03960950242261978</v>
      </c>
      <c r="K30" t="n">
        <v>4</v>
      </c>
      <c r="L30" s="6" t="n">
        <v>0.0368</v>
      </c>
      <c r="M30" s="6" t="n">
        <v>0.03726825040376996</v>
      </c>
      <c r="N30" s="3" t="n">
        <v>111054.7322747435</v>
      </c>
      <c r="O30" s="3" t="n">
        <v>287906.1892461781</v>
      </c>
    </row>
    <row r="31">
      <c r="A31" t="inlineStr">
        <is>
          <t>2026-05-26</t>
        </is>
      </c>
      <c r="B31" s="5" t="n">
        <v>2712152913.865112</v>
      </c>
      <c r="C31" s="5" t="n">
        <v>-1.490116119384766e-08</v>
      </c>
      <c r="D31" s="5" t="n">
        <v>0</v>
      </c>
      <c r="E31" s="5" t="n">
        <v>1611942678.208152</v>
      </c>
      <c r="F31" s="5" t="n">
        <v>0</v>
      </c>
      <c r="G31" s="5" t="n">
        <v>0</v>
      </c>
      <c r="H31" s="5" t="n">
        <v>1100210235.65696</v>
      </c>
      <c r="I31" s="6" t="n">
        <v>0.03600000425292382</v>
      </c>
      <c r="J31" s="6" t="n">
        <v>0.03910800426568259</v>
      </c>
      <c r="K31" t="n">
        <v>4</v>
      </c>
      <c r="L31" s="6" t="n">
        <v>0.0368</v>
      </c>
      <c r="M31" s="6" t="n">
        <v>0.03718466737761376</v>
      </c>
      <c r="N31" s="3" t="n">
        <v>110565.3447970185</v>
      </c>
      <c r="O31" s="3" t="n">
        <v>279994.5331871066</v>
      </c>
    </row>
    <row r="32">
      <c r="A32" t="inlineStr">
        <is>
          <t>2026-05-27</t>
        </is>
      </c>
      <c r="B32" s="5" t="n">
        <v>2664162487.280517</v>
      </c>
      <c r="C32" s="5" t="n">
        <v>-1.490116119384766e-08</v>
      </c>
      <c r="D32" s="5" t="n">
        <v>0</v>
      </c>
      <c r="E32" s="5" t="n">
        <v>1562079744.442469</v>
      </c>
      <c r="F32" s="5" t="n">
        <v>0</v>
      </c>
      <c r="G32" s="5" t="n">
        <v>0</v>
      </c>
      <c r="H32" s="5" t="n">
        <v>1102082742.838048</v>
      </c>
      <c r="I32" s="6" t="n">
        <v>0.03600000425292382</v>
      </c>
      <c r="J32" s="6" t="n">
        <v>0.03910800426568259</v>
      </c>
      <c r="K32" t="n">
        <v>4</v>
      </c>
      <c r="L32" s="6" t="n">
        <v>0.0368</v>
      </c>
      <c r="M32" s="6" t="n">
        <v>0.03718466737761376</v>
      </c>
      <c r="N32" s="3" t="n">
        <v>110762.1615797958</v>
      </c>
      <c r="O32" s="3" t="n">
        <v>274950.3221635728</v>
      </c>
    </row>
    <row r="33">
      <c r="A33" t="inlineStr">
        <is>
          <t>2026-05-28</t>
        </is>
      </c>
      <c r="B33" s="5" t="n">
        <v>2647157440.00387</v>
      </c>
      <c r="C33" s="5" t="n">
        <v>-1.490116119384766e-08</v>
      </c>
      <c r="D33" s="5" t="n">
        <v>0</v>
      </c>
      <c r="E33" s="5" t="n">
        <v>1562219774.21512</v>
      </c>
      <c r="F33" s="5" t="n">
        <v>0</v>
      </c>
      <c r="G33" s="5" t="n">
        <v>0</v>
      </c>
      <c r="H33" s="5" t="n">
        <v>1084937665.78875</v>
      </c>
      <c r="I33" s="6" t="n">
        <v>0.03600000425292382</v>
      </c>
      <c r="J33" s="6" t="n">
        <v>0.03910800426568259</v>
      </c>
      <c r="K33" t="n">
        <v>4</v>
      </c>
      <c r="L33" s="6" t="n">
        <v>0.0369</v>
      </c>
      <c r="M33" s="6" t="n">
        <v>0.0372680007109471</v>
      </c>
      <c r="N33" s="3" t="n">
        <v>109180.2033563618</v>
      </c>
      <c r="O33" s="3" t="n">
        <v>273383.0822865487</v>
      </c>
    </row>
    <row r="34">
      <c r="A34" t="inlineStr">
        <is>
          <t>2026-05-29</t>
        </is>
      </c>
      <c r="B34" s="5" t="n">
        <v>2652157440.00387</v>
      </c>
      <c r="C34" s="5" t="n">
        <v>-1.490116119384766e-08</v>
      </c>
      <c r="D34" s="5" t="n">
        <v>0</v>
      </c>
      <c r="E34" s="5" t="n">
        <v>1562287682.63512</v>
      </c>
      <c r="F34" s="5" t="n">
        <v>0</v>
      </c>
      <c r="G34" s="5" t="n">
        <v>0</v>
      </c>
      <c r="H34" s="5" t="n">
        <v>1089869757.36875</v>
      </c>
      <c r="I34" s="6" t="n">
        <v>0.03600000425292382</v>
      </c>
      <c r="J34" s="6" t="n">
        <v>0.03910800426568259</v>
      </c>
      <c r="K34" t="n">
        <v>4</v>
      </c>
      <c r="L34" s="6" t="n">
        <v>0.0369</v>
      </c>
      <c r="M34" s="6" t="n">
        <v>0.0372680007109471</v>
      </c>
      <c r="N34" s="3" t="n">
        <v>109698.6090569876</v>
      </c>
      <c r="O34" s="3" t="n">
        <v>273908.6257524567</v>
      </c>
    </row>
    <row r="35">
      <c r="A35" t="inlineStr">
        <is>
          <t>2026-05-30</t>
        </is>
      </c>
      <c r="B35" s="5" t="n">
        <v>2657157440.00387</v>
      </c>
      <c r="C35" s="5" t="n">
        <v>-1.490116119384766e-08</v>
      </c>
      <c r="D35" s="5" t="n">
        <v>0</v>
      </c>
      <c r="E35" s="5" t="n">
        <v>1562287682.63512</v>
      </c>
      <c r="F35" s="5" t="n">
        <v>0</v>
      </c>
      <c r="G35" s="5" t="n">
        <v>0</v>
      </c>
      <c r="H35" s="5" t="n">
        <v>1094869757.36875</v>
      </c>
      <c r="I35" s="6" t="n">
        <v>0.03600000425292382</v>
      </c>
      <c r="J35" s="6" t="n">
        <v>0.03910800426568259</v>
      </c>
      <c r="K35" t="n">
        <v>4</v>
      </c>
      <c r="L35" s="6" t="n">
        <v>0.0369</v>
      </c>
      <c r="M35" s="6" t="n">
        <v>0.0372680007109471</v>
      </c>
      <c r="N35" s="3" t="n">
        <v>110224.1525228955</v>
      </c>
      <c r="O35" s="3" t="n">
        <v>274434.1692183646</v>
      </c>
    </row>
    <row r="36">
      <c r="A36" t="inlineStr">
        <is>
          <t>2026-05-31</t>
        </is>
      </c>
      <c r="B36" s="5" t="n">
        <v>2660157440.00387</v>
      </c>
      <c r="C36" s="5" t="n">
        <v>-1.490116119384766e-08</v>
      </c>
      <c r="D36" s="5" t="n">
        <v>0</v>
      </c>
      <c r="E36" s="5" t="n">
        <v>1562287682.63512</v>
      </c>
      <c r="F36" s="5" t="n">
        <v>0</v>
      </c>
      <c r="G36" s="5" t="n">
        <v>0</v>
      </c>
      <c r="H36" s="5" t="n">
        <v>1097869757.36875</v>
      </c>
      <c r="I36" s="6" t="n">
        <v>0.03600000425292382</v>
      </c>
      <c r="J36" s="6" t="n">
        <v>0.03910800426568259</v>
      </c>
      <c r="K36" t="n">
        <v>4</v>
      </c>
      <c r="L36" s="6" t="n">
        <v>0.0369</v>
      </c>
      <c r="M36" s="6" t="n">
        <v>0.0372680007109471</v>
      </c>
      <c r="N36" s="3" t="n">
        <v>110539.4786024403</v>
      </c>
      <c r="O36" s="3" t="n">
        <v>274749.4952979094</v>
      </c>
    </row>
    <row r="38">
      <c r="A38" s="7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0" t="n">
        <v>3343569.522288233</v>
      </c>
      <c r="O38" s="10" t="n">
        <v>9531627.875473827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12" customWidth="1" min="3" max="3"/>
    <col width="46" customWidth="1" min="4" max="4"/>
    <col width="20" customWidth="1" min="5" max="5"/>
    <col width="18" customWidth="1" min="6" max="6"/>
    <col width="18" customWidth="1" min="7" max="7"/>
    <col width="16" customWidth="1" min="8" max="8"/>
    <col width="22" customWidth="1" min="9" max="9"/>
  </cols>
  <sheetData>
    <row r="1">
      <c r="A1" s="1" t="inlineStr">
        <is>
          <t>Off-protocol holdings (tracked, not in prime revenue)</t>
        </is>
      </c>
    </row>
    <row r="3">
      <c r="A3" t="inlineStr">
        <is>
          <t>These positions sit with external counterparties (e.g. OOB OTC venues, off-protocol custodians). The balances below are visible for monthly-NAV reporting only — they do NOT contribute to prime_agent_revenue or sky_revenue. Any realized gain or loss on the round-trip is booked at the anchor venue when the cash settles back at the ALM proxy.</t>
        </is>
      </c>
    </row>
    <row r="5">
      <c r="A5" s="2" t="inlineStr">
        <is>
          <t>Venue</t>
        </is>
      </c>
      <c r="B5" s="2" t="inlineStr">
        <is>
          <t>Label</t>
        </is>
      </c>
      <c r="C5" s="2" t="inlineStr">
        <is>
          <t>Chain</t>
        </is>
      </c>
      <c r="D5" s="2" t="inlineStr">
        <is>
          <t>Counterparty (paired_source)</t>
        </is>
      </c>
      <c r="E5" s="2" t="inlineStr">
        <is>
          <t>Anchor venue (paired_with)</t>
        </is>
      </c>
      <c r="F5" s="2" t="inlineStr">
        <is>
          <t>Outstanding SoM (USD)</t>
        </is>
      </c>
      <c r="G5" s="2" t="inlineStr">
        <is>
          <t>Outstanding EoM (USD)</t>
        </is>
      </c>
      <c r="H5" s="2" t="inlineStr">
        <is>
          <t>Δ over period</t>
        </is>
      </c>
      <c r="I5" s="2" t="inlineStr">
        <is>
          <t>Status</t>
        </is>
      </c>
    </row>
    <row r="6">
      <c r="A6" t="inlineStr">
        <is>
          <t>E33</t>
        </is>
      </c>
      <c r="B6" t="inlineStr">
        <is>
          <t>Uniswap V3 AUSD/USDC pool (Monad, NFT positions)</t>
        </is>
      </c>
      <c r="C6" t="inlineStr">
        <is>
          <t>monad</t>
        </is>
      </c>
      <c r="D6" t="inlineStr"/>
      <c r="E6" t="inlineStr"/>
      <c r="F6" s="5" t="n">
        <v>0</v>
      </c>
      <c r="G6" s="5" t="n">
        <v>0</v>
      </c>
      <c r="H6" s="5" t="n">
        <v>0</v>
      </c>
      <c r="I6" t="inlineStr">
        <is>
          <t>—</t>
        </is>
      </c>
    </row>
    <row r="7">
      <c r="A7" t="inlineStr">
        <is>
          <t>E14</t>
        </is>
      </c>
      <c r="B7" t="inlineStr">
        <is>
          <t>AUSD raw (ALM idle)</t>
        </is>
      </c>
      <c r="C7" t="inlineStr">
        <is>
          <t>ethereum</t>
        </is>
      </c>
      <c r="D7" t="inlineStr"/>
      <c r="E7" t="inlineStr"/>
      <c r="F7" s="5" t="n">
        <v>1000462.313608</v>
      </c>
      <c r="G7" s="5" t="n">
        <v>3398082.921803</v>
      </c>
      <c r="H7" s="5" t="n">
        <v>2397620.608195</v>
      </c>
      <c r="I7" t="inlineStr">
        <is>
          <t>new principal-out</t>
        </is>
      </c>
    </row>
    <row r="8">
      <c r="A8" t="inlineStr">
        <is>
          <t>E36</t>
        </is>
      </c>
      <c r="B8" t="inlineStr">
        <is>
          <t>OOB principal via 0xd94f (relay to Monad ALM EOA → AUSD acquisition)</t>
        </is>
      </c>
      <c r="C8" t="inlineStr">
        <is>
          <t>ethereum</t>
        </is>
      </c>
      <c r="D8" t="inlineStr">
        <is>
          <t>0x94b398acb2fce988871218221ea6a4a2b26cccbc</t>
        </is>
      </c>
      <c r="E8" t="inlineStr">
        <is>
          <t>E14</t>
        </is>
      </c>
      <c r="F8" s="5" t="n">
        <v>50001000</v>
      </c>
      <c r="G8" s="5" t="n">
        <v>50001000</v>
      </c>
      <c r="H8" s="5" t="n">
        <v>0</v>
      </c>
      <c r="I8" t="inlineStr">
        <is>
          <t>outstanding (no change)</t>
        </is>
      </c>
    </row>
    <row r="9">
      <c r="A9" t="inlineStr">
        <is>
          <t>E25</t>
        </is>
      </c>
      <c r="B9" t="inlineStr">
        <is>
          <t>Grove x Steakhouse High Yield AUSD (Monad, Morpho 4626)</t>
        </is>
      </c>
      <c r="C9" t="inlineStr">
        <is>
          <t>monad</t>
        </is>
      </c>
      <c r="D9" t="inlineStr"/>
      <c r="E9" t="inlineStr"/>
      <c r="F9" s="5" t="n">
        <v>0</v>
      </c>
      <c r="G9" s="5" t="n">
        <v>0</v>
      </c>
      <c r="H9" s="5" t="n">
        <v>0</v>
      </c>
      <c r="I9" t="inlineStr">
        <is>
          <t>—</t>
        </is>
      </c>
    </row>
    <row r="10">
      <c r="A10" t="inlineStr">
        <is>
          <t>E34</t>
        </is>
      </c>
      <c r="B10" t="inlineStr">
        <is>
          <t>AUSD raw (Monad, alt holder idle)</t>
        </is>
      </c>
      <c r="C10" t="inlineStr">
        <is>
          <t>monad</t>
        </is>
      </c>
      <c r="D10" t="inlineStr"/>
      <c r="E10" t="inlineStr"/>
      <c r="F10" s="5" t="n">
        <v>0</v>
      </c>
      <c r="G10" s="5" t="n">
        <v>0</v>
      </c>
      <c r="H10" s="5" t="n">
        <v>0</v>
      </c>
      <c r="I10" t="inlineStr">
        <is>
          <t>—</t>
        </is>
      </c>
    </row>
    <row r="11">
      <c r="A11" t="inlineStr">
        <is>
          <t>E35</t>
        </is>
      </c>
      <c r="B11" t="inlineStr">
        <is>
          <t>USDC raw (Monad, alt holder idle)</t>
        </is>
      </c>
      <c r="C11" t="inlineStr">
        <is>
          <t>monad</t>
        </is>
      </c>
      <c r="D11" t="inlineStr"/>
      <c r="E11" t="inlineStr"/>
      <c r="F11" s="5" t="n">
        <v>207788.12728</v>
      </c>
      <c r="G11" s="5" t="n">
        <v>207788.12728</v>
      </c>
      <c r="H11" s="5" t="n">
        <v>0</v>
      </c>
      <c r="I11" t="inlineStr">
        <is>
          <t>outstanding (no change)</t>
        </is>
      </c>
    </row>
    <row r="13">
      <c r="A13" t="inlineStr">
        <is>
          <t>Note: realized gain on returns (the round-trip spread) is recognized as revenue at the anchor venue via the paired-principal-cap classifier — see provenance.json venue_breakdown for the anchor's actual_revenue / external_revenue split.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2026-08-06T00:22:25Z</dcterms:created>
  <dcterms:modified xsi:type="dcterms:W3CDTF">2026-08-06T00:22:25Z</dcterms:modified>
</cp:coreProperties>
</file>