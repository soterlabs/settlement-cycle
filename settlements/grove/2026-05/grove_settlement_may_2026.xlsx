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3585695.947968568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>
        <is>
          <t>+ distribution_rewards (settle-dr-dune)</t>
        </is>
      </c>
      <c r="B6" s="3" t="n">
        <v>20518.52</v>
      </c>
    </row>
    <row r="7">
      <c r="A7" t="inlineStr"/>
      <c r="B7" s="4" t="n">
        <v>3678175.065050077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3343569.522288233</v>
      </c>
    </row>
    <row r="11">
      <c r="A11" t="inlineStr">
        <is>
          <t>+ SDE revenue (Sky-Direct, full to Sky)</t>
        </is>
      </c>
      <c r="B11" s="3" t="n">
        <v>5242531.28537233</v>
      </c>
    </row>
    <row r="12">
      <c r="A12" t="inlineStr"/>
      <c r="B12" s="4" t="n">
        <v>8586100.807660563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3343569.522288233</v>
      </c>
    </row>
    <row r="16">
      <c r="A16" t="inlineStr">
        <is>
          <t>reduction from idle/SDE deductions</t>
        </is>
      </c>
      <c r="B16" s="3" t="n">
        <v>-6188058.353185593</v>
      </c>
    </row>
    <row r="17">
      <c r="A17" t="inlineStr"/>
      <c r="B17" s="4" t="n">
        <v>9531627.875473827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3585695.947968568</v>
      </c>
    </row>
    <row r="21">
      <c r="A21" t="inlineStr">
        <is>
          <t>− CoF (deducted per-venue in display)</t>
        </is>
      </c>
      <c r="B21" s="3" t="n">
        <v>-3343569.522288233</v>
      </c>
    </row>
    <row r="22">
      <c r="A22" t="inlineStr"/>
      <c r="B22" s="4" t="n">
        <v>242126.4256803349</v>
      </c>
    </row>
    <row r="24">
      <c r="A24" t="inlineStr">
        <is>
          <t>Period</t>
        </is>
      </c>
      <c r="B24" t="inlineStr">
        <is>
          <t>2026-05-01 → 2026-05-31 (31 days)</t>
        </is>
      </c>
    </row>
    <row r="25">
      <c r="A25" t="inlineStr">
        <is>
          <t>Pin blocks</t>
        </is>
      </c>
      <c r="B25" t="inlineStr">
        <is>
          <t>avalanche_c=86865826, base=46741326, ethereum=25218797, monad=78309381, plume=71786194</t>
        </is>
      </c>
    </row>
    <row r="26">
      <c r="A26" t="inlineStr">
        <is>
          <t>Generated</t>
        </is>
      </c>
      <c r="B26" t="inlineStr">
        <is>
          <t>2026-07-31T00:12:46+00:00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812145.9731719492</v>
      </c>
      <c r="O4" s="5" t="n">
        <v>812145.9731719492</v>
      </c>
      <c r="P4" s="5" t="n">
        <v>181325.5871338868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790550.2698719788</v>
      </c>
      <c r="O5" s="5" t="n">
        <v>790550.2698719788</v>
      </c>
      <c r="P5" s="5" t="n">
        <v>-535752.0692394535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405446.0537038245</v>
      </c>
      <c r="O6" s="5" t="n">
        <v>405446.0537038245</v>
      </c>
      <c r="P6" s="5" t="n">
        <v>90522.81999482136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319452.8578456958</v>
      </c>
      <c r="O7" s="5" t="n">
        <v>319452.8578456958</v>
      </c>
      <c r="P7" s="5" t="n">
        <v>133652.4421543042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236951.5746542286</v>
      </c>
      <c r="O8" s="5" t="n">
        <v>236951.5746542286</v>
      </c>
      <c r="P8" s="5" t="n">
        <v>32381.49006371924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228425.3747459413</v>
      </c>
      <c r="O9" s="5" t="n">
        <v>228425.3747459413</v>
      </c>
      <c r="P9" s="5" t="n">
        <v>44149.10210075145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157355.2877251511</v>
      </c>
      <c r="O10" s="5" t="n">
        <v>157355.2877251511</v>
      </c>
      <c r="P10" s="5" t="n">
        <v>231754.6122748489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123375.3878553423</v>
      </c>
      <c r="O11" s="5" t="n">
        <v>123375.3878553423</v>
      </c>
      <c r="P11" s="5" t="n">
        <v>-171889.1908820603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78759.30517584369</v>
      </c>
      <c r="O12" s="5" t="n">
        <v>78759.30517584369</v>
      </c>
      <c r="P12" s="5" t="n">
        <v>-67546.9572278437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78681.30742540192</v>
      </c>
      <c r="O13" s="5" t="n">
        <v>78681.30742540192</v>
      </c>
      <c r="P13" s="5" t="n">
        <v>-78401.5058785079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78622.15376334582</v>
      </c>
      <c r="O14" s="5" t="n">
        <v>78622.15376334582</v>
      </c>
      <c r="P14" s="5" t="n">
        <v>-4556.00564330679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17981.82484933003</v>
      </c>
      <c r="O15" s="5" t="n">
        <v>17981.82484933003</v>
      </c>
      <c r="P15" s="5" t="n">
        <v>312.3785725372201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-4e-21</v>
      </c>
      <c r="I16" s="5" t="n">
        <v>0</v>
      </c>
      <c r="J16" s="5" t="n">
        <v>-4e-21</v>
      </c>
      <c r="K16" s="5" t="n">
        <v>0</v>
      </c>
      <c r="L16" s="5" t="n">
        <v>3966608.499661194</v>
      </c>
      <c r="M16" s="6" t="n">
        <v>1</v>
      </c>
      <c r="N16" s="5" t="n">
        <v>12483.33643514434</v>
      </c>
      <c r="O16" s="5" t="n">
        <v>12483.33643514434</v>
      </c>
      <c r="P16" s="5" t="n">
        <v>-12483.33643514434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3181.251689892513</v>
      </c>
      <c r="O17" s="5" t="n">
        <v>3181.251689892513</v>
      </c>
      <c r="P17" s="5" t="n">
        <v>489.7014125475674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49596</v>
      </c>
      <c r="G18" s="5" t="n">
        <v>49596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39996.77419354839</v>
      </c>
      <c r="M18" s="6" t="n">
        <v>1</v>
      </c>
      <c r="N18" s="5" t="n">
        <v>125.8740782260741</v>
      </c>
      <c r="O18" s="5" t="n">
        <v>125.8740782260741</v>
      </c>
      <c r="P18" s="5" t="n">
        <v>-125.8740782260741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31.68814126821579</v>
      </c>
      <c r="O19" s="5" t="n">
        <v>31.68814126821579</v>
      </c>
      <c r="P19" s="5" t="n">
        <v>-31.68814126821579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0.3672154333303549</v>
      </c>
      <c r="F20" s="5" t="n">
        <v>0.3678698313420545</v>
      </c>
      <c r="G20" s="5" t="n">
        <v>0.000654398011699573</v>
      </c>
      <c r="H20" s="5" t="n">
        <v>0.000654398011699573</v>
      </c>
      <c r="I20" s="5" t="n">
        <v>0</v>
      </c>
      <c r="J20" s="5" t="n">
        <v>0.000654398011699573</v>
      </c>
      <c r="K20" s="5" t="n">
        <v>0</v>
      </c>
      <c r="L20" s="5" t="n">
        <v>0.3672154333303549</v>
      </c>
      <c r="M20" s="6" t="n">
        <v>1</v>
      </c>
      <c r="N20" s="5" t="n">
        <v>0.00115566580337628</v>
      </c>
      <c r="O20" s="5" t="n">
        <v>0.00115566580337628</v>
      </c>
      <c r="P20" s="5" t="n">
        <v>-0.0005012677916767074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3.147105754503021e-09</v>
      </c>
      <c r="O21" s="5" t="n">
        <v>3.147105754503021e-09</v>
      </c>
      <c r="P21" s="5" t="n">
        <v>-3.147105754503021e-09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(+) spread; 30bps, 20bps from 2026-07-23),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0.03685483870967742</v>
      </c>
    </row>
    <row r="10">
      <c r="A10" t="inlineStr">
        <is>
          <t>Subsidised rate (BR*), period avg</t>
        </is>
      </c>
      <c r="B10" s="6" t="n">
        <v>0.03729777196859994</v>
      </c>
    </row>
    <row r="11">
      <c r="A11" s="7" t="inlineStr">
        <is>
          <t>Effective blended rate charged</t>
        </is>
      </c>
      <c r="B11" s="8" t="n">
        <v>0.03744741878907706</v>
      </c>
    </row>
    <row r="12">
      <c r="A12" s="7" t="inlineStr">
        <is>
          <t>Diff vs base rate (bps)</t>
        </is>
      </c>
      <c r="B12" s="9" t="n">
        <v>-20.62827937096083</v>
      </c>
    </row>
    <row r="13">
      <c r="A13" s="7" t="inlineStr">
        <is>
          <t>Subsidy benefit to prime (USD)</t>
        </is>
      </c>
      <c r="B13" s="10" t="n">
        <v>180681.655360523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3343569.522288233</v>
      </c>
    </row>
    <row r="17">
      <c r="A17" s="7" t="inlineStr">
        <is>
          <t xml:space="preserve">  = subsidy benefit</t>
        </is>
      </c>
      <c r="B17" s="10" t="n">
        <v>180681.655360523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3102268.836104926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3343569.522288233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8586100.807660563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9531627.875473827</v>
      </c>
    </row>
    <row r="31">
      <c r="A31" t="inlineStr">
        <is>
          <t xml:space="preserve">    ↳ actual CoF on Net_Subs (BR × utilized)</t>
        </is>
      </c>
      <c r="B31" s="3" t="n">
        <v>3343569.522288233</v>
      </c>
    </row>
    <row r="32">
      <c r="A32" t="inlineStr">
        <is>
          <t xml:space="preserve">    ↳ reduction from idle/SDE deductions</t>
        </is>
      </c>
      <c r="B32" s="3" t="n">
        <v>-6188058.353185593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0.0369</v>
      </c>
      <c r="M10" s="6" t="n">
        <v>0.0373515837371033</v>
      </c>
      <c r="N10" s="3" t="n">
        <v>97761.31470851351</v>
      </c>
      <c r="O10" s="3" t="n">
        <v>321975.3406253316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0.0369</v>
      </c>
      <c r="M11" s="6" t="n">
        <v>0.0373515837371033</v>
      </c>
      <c r="N11" s="3" t="n">
        <v>97841.28412260936</v>
      </c>
      <c r="O11" s="3" t="n">
        <v>322081.771396092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0.0369</v>
      </c>
      <c r="M12" s="6" t="n">
        <v>0.0373515837371033</v>
      </c>
      <c r="N12" s="3" t="n">
        <v>97820.51598310456</v>
      </c>
      <c r="O12" s="3" t="n">
        <v>322081.771396092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0.0369</v>
      </c>
      <c r="M13" s="6" t="n">
        <v>0.0373515837371033</v>
      </c>
      <c r="N13" s="3" t="n">
        <v>102856.9289189069</v>
      </c>
      <c r="O13" s="3" t="n">
        <v>327296.8872698547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0.0369</v>
      </c>
      <c r="M14" s="6" t="n">
        <v>0.0373515837371033</v>
      </c>
      <c r="N14" s="3" t="n">
        <v>102856.9289189069</v>
      </c>
      <c r="O14" s="3" t="n">
        <v>327296.8872698547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0.0369</v>
      </c>
      <c r="M15" s="6" t="n">
        <v>0.0373515837371033</v>
      </c>
      <c r="N15" s="3" t="n">
        <v>102856.9289189069</v>
      </c>
      <c r="O15" s="3" t="n">
        <v>327296.8872698547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0.0369</v>
      </c>
      <c r="M18" s="6" t="n">
        <v>0.0373515837371033</v>
      </c>
      <c r="N18" s="3" t="n">
        <v>109880.2962788055</v>
      </c>
      <c r="O18" s="3" t="n">
        <v>323778.5970038222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0.0369</v>
      </c>
      <c r="M19" s="6" t="n">
        <v>0.0373515837371033</v>
      </c>
      <c r="N19" s="3" t="n">
        <v>109967.6210002338</v>
      </c>
      <c r="O19" s="3" t="n">
        <v>318564.1938773111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0.0369</v>
      </c>
      <c r="M20" s="6" t="n">
        <v>0.0373515837371033</v>
      </c>
      <c r="N20" s="3" t="n">
        <v>112607.672276845</v>
      </c>
      <c r="O20" s="3" t="n">
        <v>315902.5230418197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0.0369</v>
      </c>
      <c r="M21" s="6" t="n">
        <v>0.0373515837371033</v>
      </c>
      <c r="N21" s="3" t="n">
        <v>112607.672276845</v>
      </c>
      <c r="O21" s="3" t="n">
        <v>315902.5230418197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0.0369</v>
      </c>
      <c r="M22" s="6" t="n">
        <v>0.0373515837371033</v>
      </c>
      <c r="N22" s="3" t="n">
        <v>112607.672276845</v>
      </c>
      <c r="O22" s="3" t="n">
        <v>315902.5230418197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0.0367</v>
      </c>
      <c r="M24" s="6" t="n">
        <v>0.03718491707043663</v>
      </c>
      <c r="N24" s="3" t="n">
        <v>112407.6721995111</v>
      </c>
      <c r="O24" s="3" t="n">
        <v>305138.1549786194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0.0365</v>
      </c>
      <c r="M25" s="6" t="n">
        <v>0.03701825040376996</v>
      </c>
      <c r="N25" s="3" t="n">
        <v>109820.5843690742</v>
      </c>
      <c r="O25" s="3" t="n">
        <v>297248.6748129312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0.0369</v>
      </c>
      <c r="M33" s="6" t="n">
        <v>0.0372680007109471</v>
      </c>
      <c r="N33" s="3" t="n">
        <v>109180.2033563618</v>
      </c>
      <c r="O33" s="3" t="n">
        <v>273383.0822865487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0.0369</v>
      </c>
      <c r="M34" s="6" t="n">
        <v>0.0372680007109471</v>
      </c>
      <c r="N34" s="3" t="n">
        <v>109698.6090569876</v>
      </c>
      <c r="O34" s="3" t="n">
        <v>273908.6257524567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0.0369</v>
      </c>
      <c r="M35" s="6" t="n">
        <v>0.0372680007109471</v>
      </c>
      <c r="N35" s="3" t="n">
        <v>110224.1525228955</v>
      </c>
      <c r="O35" s="3" t="n">
        <v>274434.1692183646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0.0369</v>
      </c>
      <c r="M36" s="6" t="n">
        <v>0.0372680007109471</v>
      </c>
      <c r="N36" s="3" t="n">
        <v>110539.4786024403</v>
      </c>
      <c r="O36" s="3" t="n">
        <v>274749.4952979094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3343569.522288233</v>
      </c>
      <c r="O38" s="10" t="n">
        <v>9531627.875473827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2026-08-04T09:09:51Z</dcterms:created>
  <dcterms:modified xsi:type="dcterms:W3CDTF">2026-08-04T09:09:51Z</dcterms:modified>
</cp:coreProperties>
</file>