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4841078.809624951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>
        <is>
          <t>+ chronicle_points (20% of base rate on Chronicle Farm USDS)</t>
        </is>
      </c>
      <c r="B7" s="3" t="n">
        <v>13102.07817737222</v>
      </c>
    </row>
    <row r="8">
      <c r="A8" t="inlineStr"/>
      <c r="B8" s="4" t="n">
        <v>4955102.899422878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3299017.138218012</v>
      </c>
    </row>
    <row r="12">
      <c r="A12" t="inlineStr">
        <is>
          <t>+ SDE revenue (Sky-Direct, full to Sky)</t>
        </is>
      </c>
      <c r="B12" s="3" t="n">
        <v>4704533.195761743</v>
      </c>
    </row>
    <row r="13">
      <c r="A13" t="inlineStr"/>
      <c r="B13" s="4" t="n">
        <v>8003550.333979755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3299017.138218012</v>
      </c>
    </row>
    <row r="17">
      <c r="A17" t="inlineStr">
        <is>
          <t>reduction from idle/SDE deductions</t>
        </is>
      </c>
      <c r="B17" s="3" t="n">
        <v>-5044716.385903903</v>
      </c>
    </row>
    <row r="18">
      <c r="A18" t="inlineStr"/>
      <c r="B18" s="4" t="n">
        <v>8343733.524121915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4841078.809624951</v>
      </c>
    </row>
    <row r="22">
      <c r="A22" t="inlineStr">
        <is>
          <t>− CoF (deducted per-venue in display)</t>
        </is>
      </c>
      <c r="B22" s="3" t="n">
        <v>-3299017.138218012</v>
      </c>
    </row>
    <row r="23">
      <c r="A23" t="inlineStr"/>
      <c r="B23" s="4" t="n">
        <v>1542061.671406939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avalanche_c=91716609, base=49376526, ethereum=25656292, monad=92053501, plume=84574746</t>
        </is>
      </c>
    </row>
    <row r="27">
      <c r="A27" t="inlineStr">
        <is>
          <t>Generated</t>
        </is>
      </c>
      <c r="B27" t="inlineStr">
        <is>
          <t>2026-08-05T21:40:01+00:00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888359.3384817669</v>
      </c>
      <c r="O4" s="5" t="n">
        <v>888359.3384817669</v>
      </c>
      <c r="P4" s="5" t="n">
        <v>15074.43544523234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648750.9721710883</v>
      </c>
      <c r="O5" s="5" t="n">
        <v>648750.9721710883</v>
      </c>
      <c r="P5" s="5" t="n">
        <v>42964.74843616584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443493.9037518494</v>
      </c>
      <c r="O6" s="5" t="n">
        <v>443493.9037518494</v>
      </c>
      <c r="P6" s="5" t="n">
        <v>7525.581071604342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348945.5953869035</v>
      </c>
      <c r="O7" s="5" t="n">
        <v>348945.5953869035</v>
      </c>
      <c r="P7" s="5" t="n">
        <v>191997.0046130965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1468181.435598047</v>
      </c>
      <c r="J8" s="5" t="n">
        <v>1586143.236672679</v>
      </c>
      <c r="K8" s="5" t="n">
        <v>0</v>
      </c>
      <c r="L8" s="5" t="n">
        <v>66666734.51196501</v>
      </c>
      <c r="M8" s="6" t="n">
        <v>1</v>
      </c>
      <c r="N8" s="5" t="n">
        <v>227935.6692296159</v>
      </c>
      <c r="O8" s="5" t="n">
        <v>227935.6692296159</v>
      </c>
      <c r="P8" s="5" t="n">
        <v>1358207.567443063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210612.7926646095</v>
      </c>
      <c r="O9" s="5" t="n">
        <v>210612.7926646095</v>
      </c>
      <c r="P9" s="5" t="n">
        <v>52117.24386252792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111937.8587697609</v>
      </c>
      <c r="O10" s="5" t="n">
        <v>111937.8587697609</v>
      </c>
      <c r="P10" s="5" t="n">
        <v>-111937.8587697609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94320.67444484802</v>
      </c>
      <c r="O11" s="5" t="n">
        <v>94320.67444484802</v>
      </c>
      <c r="P11" s="5" t="n">
        <v>173498.035555152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85908.40408367464</v>
      </c>
      <c r="O12" s="5" t="n">
        <v>85908.40408367464</v>
      </c>
      <c r="P12" s="5" t="n">
        <v>-14496.33427872073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85646.36904073418</v>
      </c>
      <c r="O13" s="5" t="n">
        <v>85646.36904073418</v>
      </c>
      <c r="P13" s="5" t="n">
        <v>-78305.09443273417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85481.86744566351</v>
      </c>
      <c r="O14" s="5" t="n">
        <v>85481.86744566351</v>
      </c>
      <c r="P14" s="5" t="n">
        <v>-85325.61873599394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58041.84782100662</v>
      </c>
      <c r="O15" s="5" t="n">
        <v>58041.84782100662</v>
      </c>
      <c r="P15" s="5" t="n">
        <v>-2806.417175834302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3420.389234811294</v>
      </c>
      <c r="O16" s="5" t="n">
        <v>3420.389234811294</v>
      </c>
      <c r="P16" s="5" t="n">
        <v>-290.1667211935945</v>
      </c>
      <c r="Q16" s="5" t="n">
        <v>0</v>
      </c>
      <c r="R16" s="5" t="n">
        <v>0</v>
      </c>
      <c r="S16" t="inlineStr"/>
    </row>
    <row r="17">
      <c r="A17" t="inlineStr">
        <is>
          <t>E41</t>
        </is>
      </c>
      <c r="B17" t="inlineStr">
        <is>
          <t>JTRSY Basin escrow — USDS pending subscription (Diamond PAU)</t>
        </is>
      </c>
      <c r="C17" t="inlineStr">
        <is>
          <t>ethereum</t>
        </is>
      </c>
      <c r="D17" t="inlineStr">
        <is>
          <t>A</t>
        </is>
      </c>
      <c r="E17" s="5" t="n">
        <v>1</v>
      </c>
      <c r="F17" s="5" t="n">
        <v>1000000</v>
      </c>
      <c r="G17" s="5" t="n">
        <v>999999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1000000</v>
      </c>
      <c r="M17" s="6" t="n">
        <v>1</v>
      </c>
      <c r="N17" s="5" t="n">
        <v>3419.031558965996</v>
      </c>
      <c r="O17" s="5" t="n">
        <v>3419.031558965996</v>
      </c>
      <c r="P17" s="5" t="n">
        <v>-3419.031558965996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654384.2290322618</v>
      </c>
      <c r="M18" s="6" t="n">
        <v>1</v>
      </c>
      <c r="N18" s="5" t="n">
        <v>2237.360330750935</v>
      </c>
      <c r="O18" s="5" t="n">
        <v>2237.360330750935</v>
      </c>
      <c r="P18" s="5" t="n">
        <v>-2237.360330750935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7547666.106224</v>
      </c>
      <c r="F19" s="5" t="n">
        <v>0</v>
      </c>
      <c r="G19" s="5" t="n">
        <v>-7547666.106224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137651.9570648836</v>
      </c>
      <c r="M19" s="6" t="n">
        <v>1</v>
      </c>
      <c r="N19" s="5" t="n">
        <v>470.6363853582693</v>
      </c>
      <c r="O19" s="5" t="n">
        <v>470.6363853582693</v>
      </c>
      <c r="P19" s="5" t="n">
        <v>-470.6363853582693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10068.978846</v>
      </c>
      <c r="F20" s="5" t="n">
        <v>10068.978846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10068.978846</v>
      </c>
      <c r="M20" s="6" t="n">
        <v>1</v>
      </c>
      <c r="N20" s="5" t="n">
        <v>34.42615644103502</v>
      </c>
      <c r="O20" s="5" t="n">
        <v>34.42615644103502</v>
      </c>
      <c r="P20" s="5" t="n">
        <v>-34.42615644103502</v>
      </c>
      <c r="Q20" s="5" t="n">
        <v>0</v>
      </c>
      <c r="R20" s="5" t="n">
        <v>0</v>
      </c>
      <c r="S20" t="inlineStr"/>
    </row>
    <row r="21">
      <c r="A21" t="inlineStr">
        <is>
          <t>E3</t>
        </is>
      </c>
      <c r="B21" t="inlineStr">
        <is>
          <t>Aave Ethereum RLUSD (aToken)</t>
        </is>
      </c>
      <c r="C21" t="inlineStr">
        <is>
          <t>ethereum</t>
        </is>
      </c>
      <c r="D21" t="inlineStr">
        <is>
          <t>C</t>
        </is>
      </c>
      <c r="E21" s="5" t="n">
        <v>0.3685720663589671</v>
      </c>
      <c r="F21" s="5" t="n">
        <v>0.369358080066628</v>
      </c>
      <c r="G21" s="5" t="n">
        <v>0.000786013707660852</v>
      </c>
      <c r="H21" s="5" t="n">
        <v>0.000786013707660852</v>
      </c>
      <c r="I21" s="5" t="n">
        <v>0</v>
      </c>
      <c r="J21" s="5" t="n">
        <v>0.000786013707660852</v>
      </c>
      <c r="K21" s="5" t="n">
        <v>0</v>
      </c>
      <c r="L21" s="5" t="n">
        <v>0.3685720663589671</v>
      </c>
      <c r="M21" s="6" t="n">
        <v>1</v>
      </c>
      <c r="N21" s="5" t="n">
        <v>0.001260159526634618</v>
      </c>
      <c r="O21" s="5" t="n">
        <v>0.001260159526634618</v>
      </c>
      <c r="P21" s="5" t="n">
        <v>-0.0004741458189737658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3.419031558965996e-09</v>
      </c>
      <c r="O22" s="5" t="n">
        <v>3.419031558965996e-09</v>
      </c>
      <c r="P22" s="5" t="n">
        <v>-3.419031558965996e-09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 = SSR (+) spread; 30bps, 20bps from 2026-07-23), period avg</t>
        </is>
      </c>
      <c r="B8" s="6" t="n">
        <v>0.03852302248128459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0.03804017286855644</v>
      </c>
    </row>
    <row r="12">
      <c r="A12" s="7" t="inlineStr">
        <is>
          <t>Diff vs base rate (bps)</t>
        </is>
      </c>
      <c r="B12" s="9" t="n">
        <v>-4.828496127281479</v>
      </c>
    </row>
    <row r="13">
      <c r="A13" s="7" t="inlineStr">
        <is>
          <t>Subsidy benefit to prime (USD)</t>
        </is>
      </c>
      <c r="B13" s="10" t="n">
        <v>41099.72297488574</v>
      </c>
    </row>
    <row r="15">
      <c r="A15" t="inlineStr">
        <is>
          <t>CoF at full base rate (no subsidy)</t>
        </is>
      </c>
      <c r="B15" s="3" t="n">
        <v>3340116.861192898</v>
      </c>
    </row>
    <row r="16">
      <c r="A16" t="inlineStr">
        <is>
          <t xml:space="preserve">  − actual CoF (subsidy on first tranche)</t>
        </is>
      </c>
      <c r="B16" s="3" t="n">
        <v>3299017.138218012</v>
      </c>
    </row>
    <row r="17">
      <c r="A17" s="7" t="inlineStr">
        <is>
          <t xml:space="preserve">  = subsidy benefit</t>
        </is>
      </c>
      <c r="B17" s="10" t="n">
        <v>41099.72297488574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3138758.209130579</v>
      </c>
    </row>
    <row r="21">
      <c r="A21" t="inlineStr">
        <is>
          <t>Excess (&gt; cap)</t>
        </is>
      </c>
      <c r="B21" s="5" t="n">
        <v>51085267.06812943</v>
      </c>
      <c r="C21" s="3" t="n">
        <v>160258.9290874331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3299017.138218012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8003550.333979755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8343733.524121915</v>
      </c>
    </row>
    <row r="31">
      <c r="A31" t="inlineStr">
        <is>
          <t xml:space="preserve">    ↳ actual CoF on Net_Subs (BR × utilized)</t>
        </is>
      </c>
      <c r="B31" s="3" t="n">
        <v>3299017.138218012</v>
      </c>
    </row>
    <row r="32">
      <c r="A32" t="inlineStr">
        <is>
          <t xml:space="preserve">    ↳ reduction from idle/SDE deductions</t>
        </is>
      </c>
      <c r="B32" s="3" t="n">
        <v>-5044716.385903903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102795.5691975566</v>
      </c>
      <c r="O14" s="3" t="n">
        <v>267635.5479711227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102651.2147194106</v>
      </c>
      <c r="O15" s="3" t="n">
        <v>267505.8001883973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102623.3865606173</v>
      </c>
      <c r="O16" s="3" t="n">
        <v>267477.6499235565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102623.3865606173</v>
      </c>
      <c r="O17" s="3" t="n">
        <v>267477.6499235565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104040.4549164667</v>
      </c>
      <c r="O18" s="3" t="n">
        <v>268952.155965133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103253.1738200246</v>
      </c>
      <c r="O19" s="3" t="n">
        <v>268173.2026978729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103661.8402686657</v>
      </c>
      <c r="O20" s="3" t="n">
        <v>268605.9801092641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103843.9828058857</v>
      </c>
      <c r="O21" s="3" t="n">
        <v>268803.8548569624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104026.4041282723</v>
      </c>
      <c r="O22" s="3" t="n">
        <v>269001.7527446232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104026.4041282723</v>
      </c>
      <c r="O23" s="3" t="n">
        <v>269001.7527446232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104026.4041282723</v>
      </c>
      <c r="O24" s="3" t="n">
        <v>269001.7527446232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94954.66485918801</v>
      </c>
      <c r="O25" s="3" t="n">
        <v>259888.3859100873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92478.20455894344</v>
      </c>
      <c r="O26" s="3" t="n">
        <v>257423.9810488564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97788.26030361245</v>
      </c>
      <c r="O27" s="3" t="n">
        <v>262812.2652547772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97488.36886466737</v>
      </c>
      <c r="O28" s="3" t="n">
        <v>254917.6466288517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102223.6502804317</v>
      </c>
      <c r="O29" s="3" t="n">
        <v>259679.9420134012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107386.9810657853</v>
      </c>
      <c r="O30" s="3" t="n">
        <v>264843.2727987547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112951.347251943</v>
      </c>
      <c r="O31" s="3" t="n">
        <v>270407.6389849125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114810.6536144164</v>
      </c>
      <c r="O32" s="3" t="n">
        <v>272312.5571387323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116899.3118077553</v>
      </c>
      <c r="O33" s="3" t="n">
        <v>274415.7087448719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120980.1423067609</v>
      </c>
      <c r="O34" s="3" t="n">
        <v>278516.2945198623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120954.9509923804</v>
      </c>
      <c r="O35" s="3" t="n">
        <v>278516.2945198623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121137.554287181</v>
      </c>
      <c r="O36" s="3" t="n">
        <v>278714.5136705112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3299017.138218012</v>
      </c>
      <c r="O38" s="10" t="n">
        <v>8343733.524121915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2026-08-05T21:40:02Z</dcterms:created>
  <dcterms:modified xsi:type="dcterms:W3CDTF">2026-08-05T21:40:02Z</dcterms:modified>
</cp:coreProperties>
</file>