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enues" sheetId="2" state="visible" r:id="rId2"/>
    <sheet name="Sky Revenue" sheetId="3" state="visible" r:id="rId3"/>
    <sheet name="Sky Direct" sheetId="4" state="visible" r:id="rId4"/>
    <sheet name="Deb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;&quot;−$&quot;#,##0.00;&quot;$&quot;0.00"/>
    <numFmt numFmtId="165" formatCode="&quot;$&quot;#,##0;&quot;−$&quot;#,##0;&quot;$&quot;0"/>
    <numFmt numFmtId="166" formatCode="0.000%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top style="thin">
        <color rgb="00C5C9CC"/>
      </top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4" fontId="0" fillId="0" borderId="0" pivotButton="0" quotePrefix="0" xfId="0"/>
    <xf numFmtId="164" fontId="2" fillId="0" borderId="1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60" customWidth="1" min="1" max="1"/>
    <col width="22" customWidth="1" min="2" max="2"/>
  </cols>
  <sheetData>
    <row r="1">
      <c r="A1" s="1" t="inlineStr">
        <is>
          <t>SKYBASE — Monthly settlement 2026-01</t>
        </is>
      </c>
    </row>
    <row r="3">
      <c r="A3" s="2" t="inlineStr">
        <is>
          <t>Prime side</t>
        </is>
      </c>
      <c r="B3" s="2" t="inlineStr">
        <is>
          <t>USD</t>
        </is>
      </c>
    </row>
    <row r="4">
      <c r="A4" t="inlineStr">
        <is>
          <t>prime_agent_revenue (gross venue yield to prime)</t>
        </is>
      </c>
      <c r="B4" s="3" t="n">
        <v>0</v>
      </c>
    </row>
    <row r="5">
      <c r="A5" t="inlineStr">
        <is>
          <t>+ agent_rate (subproxy USDS / sUSDS yield)</t>
        </is>
      </c>
      <c r="B5" s="3" t="n">
        <v>0</v>
      </c>
    </row>
    <row r="6">
      <c r="A6" t="inlineStr">
        <is>
          <t>+ distribution_rewards (settle-dr-dune)</t>
        </is>
      </c>
      <c r="B6" s="3" t="n">
        <v>149530.26</v>
      </c>
    </row>
    <row r="7">
      <c r="A7" t="inlineStr"/>
      <c r="B7" s="4" t="n">
        <v>149530.26</v>
      </c>
    </row>
    <row r="9">
      <c r="A9" s="2" t="inlineStr">
        <is>
          <t>Sky side</t>
        </is>
      </c>
      <c r="B9" s="2" t="inlineStr">
        <is>
          <t>USD</t>
        </is>
      </c>
    </row>
    <row r="10">
      <c r="A10" t="inlineStr">
        <is>
          <t>CoF on utilized (BR × Net_Subs)</t>
        </is>
      </c>
      <c r="B10" s="3" t="n">
        <v>0</v>
      </c>
    </row>
    <row r="11">
      <c r="A11" t="inlineStr">
        <is>
          <t>+ SDE revenue (Sky-Direct, full to Sky)</t>
        </is>
      </c>
      <c r="B11" s="3" t="n">
        <v>0</v>
      </c>
    </row>
    <row r="12">
      <c r="A12" t="inlineStr"/>
      <c r="B12" s="4" t="n">
        <v>0</v>
      </c>
    </row>
    <row r="14">
      <c r="A14" s="2" t="inlineStr">
        <is>
          <t>Comparison (Grove-style "Profit to Grove")</t>
        </is>
      </c>
      <c r="B14" s="2" t="inlineStr">
        <is>
          <t>USD</t>
        </is>
      </c>
    </row>
    <row r="15">
      <c r="A15" t="inlineStr">
        <is>
          <t>prime_agent_revenue</t>
        </is>
      </c>
      <c r="B15" s="3" t="n">
        <v>0</v>
      </c>
    </row>
    <row r="16">
      <c r="A16" t="inlineStr">
        <is>
          <t>− CoF (deducted per-venue in display)</t>
        </is>
      </c>
      <c r="B16" s="3" t="n">
        <v>0</v>
      </c>
    </row>
    <row r="17">
      <c r="A17" t="inlineStr"/>
      <c r="B17" s="4" t="n">
        <v>0</v>
      </c>
    </row>
    <row r="19">
      <c r="A19" t="inlineStr">
        <is>
          <t>Period</t>
        </is>
      </c>
      <c r="B19" t="inlineStr">
        <is>
          <t>2026-01-01 → 2026-01-31 (31 days)</t>
        </is>
      </c>
    </row>
    <row r="20">
      <c r="A20" t="inlineStr">
        <is>
          <t>Pin blocks</t>
        </is>
      </c>
      <c r="B20" t="inlineStr">
        <is>
          <t>ethereum=24358292</t>
        </is>
      </c>
    </row>
    <row r="21">
      <c r="A21" t="inlineStr">
        <is>
          <t>Generated</t>
        </is>
      </c>
      <c r="B21" t="inlineStr">
        <is>
          <t>2026-07-15T11:05:05+00:00</t>
        </is>
      </c>
    </row>
    <row r="22">
      <c r="A22" t="inlineStr">
        <is>
          <t>Pipeline</t>
        </is>
      </c>
      <c r="B22" t="inlineStr">
        <is>
          <t>0.1.0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6" customWidth="1" min="11" max="11"/>
    <col width="16" customWidth="1" min="12" max="12"/>
    <col width="9" customWidth="1" min="13" max="13"/>
    <col width="14" customWidth="1" min="14" max="14"/>
    <col width="16" customWidth="1" min="15" max="15"/>
    <col width="16" customWidth="1" min="16" max="16"/>
    <col width="22" customWidth="1" min="17" max="17"/>
    <col width="14" customWidth="1" min="18" max="18"/>
    <col width="30" customWidth="1" min="19" max="19"/>
  </cols>
  <sheetData>
    <row r="1">
      <c r="A1" s="2" t="inlineStr">
        <is>
          <t>Venue</t>
        </is>
      </c>
      <c r="B1" s="2" t="inlineStr">
        <is>
          <t>Label</t>
        </is>
      </c>
      <c r="C1" s="2" t="inlineStr">
        <is>
          <t>Chain</t>
        </is>
      </c>
      <c r="D1" s="2" t="inlineStr">
        <is>
          <t>Pricing cat.</t>
        </is>
      </c>
      <c r="E1" s="2" t="inlineStr">
        <is>
          <t>Position SoM</t>
        </is>
      </c>
      <c r="F1" s="2" t="inlineStr">
        <is>
          <t>Position EoM</t>
        </is>
      </c>
      <c r="G1" s="2" t="inlineStr">
        <is>
          <t>Period inflow</t>
        </is>
      </c>
      <c r="H1" s="2" t="inlineStr">
        <is>
          <t>actual_revenue</t>
        </is>
      </c>
      <c r="I1" s="2" t="inlineStr">
        <is>
          <t>external_revenue</t>
        </is>
      </c>
      <c r="J1" s="2" t="inlineStr">
        <is>
          <t>revenue (to prime)</t>
        </is>
      </c>
      <c r="K1" s="2" t="inlineStr">
        <is>
          <t>sd_revenue (to Sky)</t>
        </is>
      </c>
      <c r="L1" s="2" t="inlineStr">
        <is>
          <t>Avg value</t>
        </is>
      </c>
      <c r="M1" s="2" t="inlineStr">
        <is>
          <t>Weight</t>
        </is>
      </c>
      <c r="N1" s="2" t="inlineStr">
        <is>
          <t>CoF alloc</t>
        </is>
      </c>
      <c r="O1" s="2" t="inlineStr">
        <is>
          <t>Profit to Sky</t>
        </is>
      </c>
      <c r="P1" s="2" t="inlineStr">
        <is>
          <t>Profit to Grove</t>
        </is>
      </c>
      <c r="Q1" s="2" t="inlineStr">
        <is>
          <t>Utilized Deduction (avg)</t>
        </is>
      </c>
      <c r="R1" s="2" t="inlineStr">
        <is>
          <t>Spread Reimb</t>
        </is>
      </c>
      <c r="S1" s="2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80" customWidth="1" min="1" max="1"/>
    <col width="22" customWidth="1" min="2" max="2"/>
  </cols>
  <sheetData>
    <row r="1">
      <c r="A1" s="1" t="inlineStr">
        <is>
          <t>How Sky's monthly take is built</t>
        </is>
      </c>
    </row>
    <row r="3">
      <c r="A3" s="2" t="inlineStr">
        <is>
          <t>Component</t>
        </is>
      </c>
      <c r="B3" s="2" t="inlineStr">
        <is>
          <t>USD</t>
        </is>
      </c>
    </row>
    <row r="4">
      <c r="A4" t="inlineStr">
        <is>
          <t>CoF on utilized debt (= Σ_d max(utilized_d,0) × (1+BR_d)^(1/365)−1)</t>
        </is>
      </c>
      <c r="B4" s="3" t="n">
        <v>0</v>
      </c>
    </row>
    <row r="5">
      <c r="A5" t="inlineStr">
        <is>
          <t>+ Sky-Direct revenue (full venue yield on fixed/capped SDE)</t>
        </is>
      </c>
      <c r="B5" s="3" t="n">
        <v>0</v>
      </c>
    </row>
    <row r="6">
      <c r="A6" t="inlineStr">
        <is>
          <t>equals sky_revenue (total Sky take this month)</t>
        </is>
      </c>
      <c r="B6" s="3" t="n">
        <v>0</v>
      </c>
    </row>
    <row r="8">
      <c r="A8" s="5" t="inlineStr">
        <is>
          <t>Utilized base = cum_debt − idle USDS − PSM USDS − Σ SDE asset value − Curve idle − lending idle</t>
        </is>
      </c>
    </row>
    <row r="11">
      <c r="A11" s="5" t="inlineStr">
        <is>
          <t>Base rate composition: base_apy = (1 + SSR)(1 + 30bps) − 1 (multiplicative)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12" customWidth="1" min="4" max="4"/>
    <col width="12" customWidth="1" min="5" max="5"/>
    <col width="8" customWidth="1" min="6" max="6"/>
    <col width="50" customWidth="1" min="7" max="7"/>
    <col width="25" customWidth="1" min="8" max="8"/>
    <col width="16" customWidth="1" min="9" max="9"/>
    <col width="18" customWidth="1" min="10" max="10"/>
  </cols>
  <sheetData>
    <row r="1">
      <c r="A1" s="1" t="inlineStr">
        <is>
          <t>Sky-Direct Exposures applied this period</t>
        </is>
      </c>
    </row>
    <row r="3">
      <c r="A3" s="2" t="inlineStr">
        <is>
          <t>Venue</t>
        </is>
      </c>
      <c r="B3" s="2" t="inlineStr">
        <is>
          <t>Kind</t>
        </is>
      </c>
      <c r="C3" s="2" t="inlineStr">
        <is>
          <t>Cap (USD)</t>
        </is>
      </c>
      <c r="D3" s="2" t="inlineStr">
        <is>
          <t>Start</t>
        </is>
      </c>
      <c r="E3" s="2" t="inlineStr">
        <is>
          <t>End</t>
        </is>
      </c>
      <c r="F3" s="2" t="inlineStr">
        <is>
          <t>Active?</t>
        </is>
      </c>
      <c r="G3" s="2" t="inlineStr">
        <is>
          <t>Source</t>
        </is>
      </c>
      <c r="H3" s="2" t="inlineStr">
        <is>
          <t>Label</t>
        </is>
      </c>
      <c r="I3" s="2" t="inlineStr">
        <is>
          <t>actual_revenue</t>
        </is>
      </c>
      <c r="J3" s="2" t="inlineStr">
        <is>
          <t>sd_revenue (to Sky)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0" customWidth="1" min="9" max="9"/>
    <col width="10" customWidth="1" min="10" max="10"/>
    <col width="18" customWidth="1" min="11" max="11"/>
    <col width="22" customWidth="1" min="12" max="12"/>
  </cols>
  <sheetData>
    <row r="1">
      <c r="A1" s="1" t="inlineStr">
        <is>
          <t>Daily ilk debt + Sky charge breakdown</t>
        </is>
      </c>
    </row>
    <row r="3" ht="45" customHeight="1">
      <c r="A3" s="6" t="inlineStr">
        <is>
          <t>cum_debt = Σ on-chain Vat dart from frob (0x76088703) + grab (0x7bab3f40), then scaled by Vat.ilks[ilk].rate_d / 1e27 read at each day's EoD block — actual outstanding USDS per day, not raw normalised Art. utilized = cum_debt − Σ deductions. base_apy = (1+SSR)(1+0.003)−1 (multiplicative). sub_apy applies on the first cap_usd of utilized when the subsidy is active; excess pays base_apy.</t>
        </is>
      </c>
    </row>
    <row r="5">
      <c r="A5" s="2" t="inlineStr">
        <is>
          <t>Date</t>
        </is>
      </c>
      <c r="B5" s="2" t="inlineStr">
        <is>
          <t>cum_debt</t>
        </is>
      </c>
      <c r="C5" s="2" t="inlineStr">
        <is>
          <t>− ALM idle</t>
        </is>
      </c>
      <c r="D5" s="2" t="inlineStr">
        <is>
          <t>− PSM USDS</t>
        </is>
      </c>
      <c r="E5" s="2" t="inlineStr">
        <is>
          <t>− SDE NAV</t>
        </is>
      </c>
      <c r="F5" s="2" t="inlineStr">
        <is>
          <t>− Curve idle</t>
        </is>
      </c>
      <c r="G5" s="2" t="inlineStr">
        <is>
          <t>− Lending idle</t>
        </is>
      </c>
      <c r="H5" s="2">
        <f> utilized</f>
        <v/>
      </c>
      <c r="I5" s="2" t="inlineStr">
        <is>
          <t>SSR APY</t>
        </is>
      </c>
      <c r="J5" s="2" t="inlineStr">
        <is>
          <t>base APY</t>
        </is>
      </c>
      <c r="K5" s="2" t="inlineStr">
        <is>
          <t>daily Sky charge</t>
        </is>
      </c>
      <c r="L5" s="2" t="inlineStr">
        <is>
          <t>daily Sky charge (gross on cum_debt)</t>
        </is>
      </c>
    </row>
    <row r="6">
      <c r="A6" t="inlineStr">
        <is>
          <t>2026-01-01</t>
        </is>
      </c>
      <c r="B6" s="7" t="n">
        <v>0</v>
      </c>
      <c r="C6" s="7" t="n">
        <v>0</v>
      </c>
      <c r="D6" s="7" t="n">
        <v>0</v>
      </c>
      <c r="E6" s="7" t="n">
        <v>0</v>
      </c>
      <c r="F6" s="7" t="n">
        <v>0</v>
      </c>
      <c r="G6" s="7" t="n">
        <v>0</v>
      </c>
      <c r="H6" s="7" t="n">
        <v>0</v>
      </c>
      <c r="I6" s="8" t="n">
        <v>0.04000000189078801</v>
      </c>
      <c r="J6" s="8" t="n">
        <v>0.04312000189646037</v>
      </c>
      <c r="K6" s="3" t="n">
        <v>0</v>
      </c>
      <c r="L6" s="3" t="n">
        <v>0</v>
      </c>
    </row>
    <row r="7">
      <c r="A7" t="inlineStr">
        <is>
          <t>2026-01-02</t>
        </is>
      </c>
      <c r="B7" s="7" t="n">
        <v>0</v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0</v>
      </c>
      <c r="H7" s="7" t="n">
        <v>0</v>
      </c>
      <c r="I7" s="8" t="n">
        <v>0.04000000189078801</v>
      </c>
      <c r="J7" s="8" t="n">
        <v>0.04312000189646037</v>
      </c>
      <c r="K7" s="3" t="n">
        <v>0</v>
      </c>
      <c r="L7" s="3" t="n">
        <v>0</v>
      </c>
    </row>
    <row r="8">
      <c r="A8" t="inlineStr">
        <is>
          <t>2026-01-03</t>
        </is>
      </c>
      <c r="B8" s="7" t="n">
        <v>0</v>
      </c>
      <c r="C8" s="7" t="n">
        <v>0</v>
      </c>
      <c r="D8" s="7" t="n">
        <v>0</v>
      </c>
      <c r="E8" s="7" t="n">
        <v>0</v>
      </c>
      <c r="F8" s="7" t="n">
        <v>0</v>
      </c>
      <c r="G8" s="7" t="n">
        <v>0</v>
      </c>
      <c r="H8" s="7" t="n">
        <v>0</v>
      </c>
      <c r="I8" s="8" t="n">
        <v>0.04000000189078801</v>
      </c>
      <c r="J8" s="8" t="n">
        <v>0.04312000189646037</v>
      </c>
      <c r="K8" s="3" t="n">
        <v>0</v>
      </c>
      <c r="L8" s="3" t="n">
        <v>0</v>
      </c>
    </row>
    <row r="9">
      <c r="A9" t="inlineStr">
        <is>
          <t>2026-01-04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8" t="n">
        <v>0.04000000189078801</v>
      </c>
      <c r="J9" s="8" t="n">
        <v>0.04312000189646037</v>
      </c>
      <c r="K9" s="3" t="n">
        <v>0</v>
      </c>
      <c r="L9" s="3" t="n">
        <v>0</v>
      </c>
    </row>
    <row r="10">
      <c r="A10" t="inlineStr">
        <is>
          <t>2026-01-05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8" t="n">
        <v>0.04000000189078801</v>
      </c>
      <c r="J10" s="8" t="n">
        <v>0.04312000189646037</v>
      </c>
      <c r="K10" s="3" t="n">
        <v>0</v>
      </c>
      <c r="L10" s="3" t="n">
        <v>0</v>
      </c>
    </row>
    <row r="11">
      <c r="A11" t="inlineStr">
        <is>
          <t>2026-01-06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8" t="n">
        <v>0.04000000189078801</v>
      </c>
      <c r="J11" s="8" t="n">
        <v>0.04312000189646037</v>
      </c>
      <c r="K11" s="3" t="n">
        <v>0</v>
      </c>
      <c r="L11" s="3" t="n">
        <v>0</v>
      </c>
    </row>
    <row r="12">
      <c r="A12" t="inlineStr">
        <is>
          <t>2026-01-07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8" t="n">
        <v>0.04000000189078801</v>
      </c>
      <c r="J12" s="8" t="n">
        <v>0.04312000189646037</v>
      </c>
      <c r="K12" s="3" t="n">
        <v>0</v>
      </c>
      <c r="L12" s="3" t="n">
        <v>0</v>
      </c>
    </row>
    <row r="13">
      <c r="A13" t="inlineStr">
        <is>
          <t>2026-01-08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7" t="n">
        <v>0</v>
      </c>
      <c r="G13" s="7" t="n">
        <v>0</v>
      </c>
      <c r="H13" s="7" t="n">
        <v>0</v>
      </c>
      <c r="I13" s="8" t="n">
        <v>0.04000000189078801</v>
      </c>
      <c r="J13" s="8" t="n">
        <v>0.04312000189646037</v>
      </c>
      <c r="K13" s="3" t="n">
        <v>0</v>
      </c>
      <c r="L13" s="3" t="n">
        <v>0</v>
      </c>
    </row>
    <row r="14">
      <c r="A14" t="inlineStr">
        <is>
          <t>2026-01-09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7" t="n">
        <v>0</v>
      </c>
      <c r="G14" s="7" t="n">
        <v>0</v>
      </c>
      <c r="H14" s="7" t="n">
        <v>0</v>
      </c>
      <c r="I14" s="8" t="n">
        <v>0.04000000189078801</v>
      </c>
      <c r="J14" s="8" t="n">
        <v>0.04312000189646037</v>
      </c>
      <c r="K14" s="3" t="n">
        <v>0</v>
      </c>
      <c r="L14" s="3" t="n">
        <v>0</v>
      </c>
    </row>
    <row r="15">
      <c r="A15" t="inlineStr">
        <is>
          <t>2026-01-10</t>
        </is>
      </c>
      <c r="B15" s="7" t="n">
        <v>0</v>
      </c>
      <c r="C15" s="7" t="n">
        <v>0</v>
      </c>
      <c r="D15" s="7" t="n">
        <v>0</v>
      </c>
      <c r="E15" s="7" t="n">
        <v>0</v>
      </c>
      <c r="F15" s="7" t="n">
        <v>0</v>
      </c>
      <c r="G15" s="7" t="n">
        <v>0</v>
      </c>
      <c r="H15" s="7" t="n">
        <v>0</v>
      </c>
      <c r="I15" s="8" t="n">
        <v>0.04000000189078801</v>
      </c>
      <c r="J15" s="8" t="n">
        <v>0.04312000189646037</v>
      </c>
      <c r="K15" s="3" t="n">
        <v>0</v>
      </c>
      <c r="L15" s="3" t="n">
        <v>0</v>
      </c>
    </row>
    <row r="16">
      <c r="A16" t="inlineStr">
        <is>
          <t>2026-01-11</t>
        </is>
      </c>
      <c r="B16" s="7" t="n">
        <v>0</v>
      </c>
      <c r="C16" s="7" t="n">
        <v>0</v>
      </c>
      <c r="D16" s="7" t="n">
        <v>0</v>
      </c>
      <c r="E16" s="7" t="n">
        <v>0</v>
      </c>
      <c r="F16" s="7" t="n">
        <v>0</v>
      </c>
      <c r="G16" s="7" t="n">
        <v>0</v>
      </c>
      <c r="H16" s="7" t="n">
        <v>0</v>
      </c>
      <c r="I16" s="8" t="n">
        <v>0.04000000189078801</v>
      </c>
      <c r="J16" s="8" t="n">
        <v>0.04312000189646037</v>
      </c>
      <c r="K16" s="3" t="n">
        <v>0</v>
      </c>
      <c r="L16" s="3" t="n">
        <v>0</v>
      </c>
    </row>
    <row r="17">
      <c r="A17" t="inlineStr">
        <is>
          <t>2026-01-12</t>
        </is>
      </c>
      <c r="B17" s="7" t="n">
        <v>0</v>
      </c>
      <c r="C17" s="7" t="n">
        <v>0</v>
      </c>
      <c r="D17" s="7" t="n">
        <v>0</v>
      </c>
      <c r="E17" s="7" t="n">
        <v>0</v>
      </c>
      <c r="F17" s="7" t="n">
        <v>0</v>
      </c>
      <c r="G17" s="7" t="n">
        <v>0</v>
      </c>
      <c r="H17" s="7" t="n">
        <v>0</v>
      </c>
      <c r="I17" s="8" t="n">
        <v>0.04000000189078801</v>
      </c>
      <c r="J17" s="8" t="n">
        <v>0.04312000189646037</v>
      </c>
      <c r="K17" s="3" t="n">
        <v>0</v>
      </c>
      <c r="L17" s="3" t="n">
        <v>0</v>
      </c>
    </row>
    <row r="18">
      <c r="A18" t="inlineStr">
        <is>
          <t>2026-01-13</t>
        </is>
      </c>
      <c r="B18" s="7" t="n">
        <v>0</v>
      </c>
      <c r="C18" s="7" t="n">
        <v>0</v>
      </c>
      <c r="D18" s="7" t="n">
        <v>0</v>
      </c>
      <c r="E18" s="7" t="n">
        <v>0</v>
      </c>
      <c r="F18" s="7" t="n">
        <v>0</v>
      </c>
      <c r="G18" s="7" t="n">
        <v>0</v>
      </c>
      <c r="H18" s="7" t="n">
        <v>0</v>
      </c>
      <c r="I18" s="8" t="n">
        <v>0.04000000189078801</v>
      </c>
      <c r="J18" s="8" t="n">
        <v>0.04312000189646037</v>
      </c>
      <c r="K18" s="3" t="n">
        <v>0</v>
      </c>
      <c r="L18" s="3" t="n">
        <v>0</v>
      </c>
    </row>
    <row r="19">
      <c r="A19" t="inlineStr">
        <is>
          <t>2026-01-14</t>
        </is>
      </c>
      <c r="B19" s="7" t="n">
        <v>0</v>
      </c>
      <c r="C19" s="7" t="n">
        <v>0</v>
      </c>
      <c r="D19" s="7" t="n">
        <v>0</v>
      </c>
      <c r="E19" s="7" t="n">
        <v>0</v>
      </c>
      <c r="F19" s="7" t="n">
        <v>0</v>
      </c>
      <c r="G19" s="7" t="n">
        <v>0</v>
      </c>
      <c r="H19" s="7" t="n">
        <v>0</v>
      </c>
      <c r="I19" s="8" t="n">
        <v>0.04000000189078801</v>
      </c>
      <c r="J19" s="8" t="n">
        <v>0.04312000189646037</v>
      </c>
      <c r="K19" s="3" t="n">
        <v>0</v>
      </c>
      <c r="L19" s="3" t="n">
        <v>0</v>
      </c>
    </row>
    <row r="20">
      <c r="A20" t="inlineStr">
        <is>
          <t>2026-01-15</t>
        </is>
      </c>
      <c r="B20" s="7" t="n">
        <v>0</v>
      </c>
      <c r="C20" s="7" t="n">
        <v>0</v>
      </c>
      <c r="D20" s="7" t="n">
        <v>0</v>
      </c>
      <c r="E20" s="7" t="n">
        <v>0</v>
      </c>
      <c r="F20" s="7" t="n">
        <v>0</v>
      </c>
      <c r="G20" s="7" t="n">
        <v>0</v>
      </c>
      <c r="H20" s="7" t="n">
        <v>0</v>
      </c>
      <c r="I20" s="8" t="n">
        <v>0.04000000189078801</v>
      </c>
      <c r="J20" s="8" t="n">
        <v>0.04312000189646037</v>
      </c>
      <c r="K20" s="3" t="n">
        <v>0</v>
      </c>
      <c r="L20" s="3" t="n">
        <v>0</v>
      </c>
    </row>
    <row r="21">
      <c r="A21" t="inlineStr">
        <is>
          <t>2026-01-16</t>
        </is>
      </c>
      <c r="B21" s="7" t="n">
        <v>0</v>
      </c>
      <c r="C21" s="7" t="n">
        <v>0</v>
      </c>
      <c r="D21" s="7" t="n">
        <v>0</v>
      </c>
      <c r="E21" s="7" t="n">
        <v>0</v>
      </c>
      <c r="F21" s="7" t="n">
        <v>0</v>
      </c>
      <c r="G21" s="7" t="n">
        <v>0</v>
      </c>
      <c r="H21" s="7" t="n">
        <v>0</v>
      </c>
      <c r="I21" s="8" t="n">
        <v>0.04000000189078801</v>
      </c>
      <c r="J21" s="8" t="n">
        <v>0.04312000189646037</v>
      </c>
      <c r="K21" s="3" t="n">
        <v>0</v>
      </c>
      <c r="L21" s="3" t="n">
        <v>0</v>
      </c>
    </row>
    <row r="22">
      <c r="A22" t="inlineStr">
        <is>
          <t>2026-01-17</t>
        </is>
      </c>
      <c r="B22" s="7" t="n">
        <v>0</v>
      </c>
      <c r="C22" s="7" t="n">
        <v>0</v>
      </c>
      <c r="D22" s="7" t="n">
        <v>0</v>
      </c>
      <c r="E22" s="7" t="n">
        <v>0</v>
      </c>
      <c r="F22" s="7" t="n">
        <v>0</v>
      </c>
      <c r="G22" s="7" t="n">
        <v>0</v>
      </c>
      <c r="H22" s="7" t="n">
        <v>0</v>
      </c>
      <c r="I22" s="8" t="n">
        <v>0.04000000189078801</v>
      </c>
      <c r="J22" s="8" t="n">
        <v>0.04312000189646037</v>
      </c>
      <c r="K22" s="3" t="n">
        <v>0</v>
      </c>
      <c r="L22" s="3" t="n">
        <v>0</v>
      </c>
    </row>
    <row r="23">
      <c r="A23" t="inlineStr">
        <is>
          <t>2026-01-18</t>
        </is>
      </c>
      <c r="B23" s="7" t="n">
        <v>0</v>
      </c>
      <c r="C23" s="7" t="n">
        <v>0</v>
      </c>
      <c r="D23" s="7" t="n">
        <v>0</v>
      </c>
      <c r="E23" s="7" t="n">
        <v>0</v>
      </c>
      <c r="F23" s="7" t="n">
        <v>0</v>
      </c>
      <c r="G23" s="7" t="n">
        <v>0</v>
      </c>
      <c r="H23" s="7" t="n">
        <v>0</v>
      </c>
      <c r="I23" s="8" t="n">
        <v>0.04000000189078801</v>
      </c>
      <c r="J23" s="8" t="n">
        <v>0.04312000189646037</v>
      </c>
      <c r="K23" s="3" t="n">
        <v>0</v>
      </c>
      <c r="L23" s="3" t="n">
        <v>0</v>
      </c>
    </row>
    <row r="24">
      <c r="A24" t="inlineStr">
        <is>
          <t>2026-01-19</t>
        </is>
      </c>
      <c r="B24" s="7" t="n">
        <v>0</v>
      </c>
      <c r="C24" s="7" t="n">
        <v>0</v>
      </c>
      <c r="D24" s="7" t="n">
        <v>0</v>
      </c>
      <c r="E24" s="7" t="n">
        <v>0</v>
      </c>
      <c r="F24" s="7" t="n">
        <v>0</v>
      </c>
      <c r="G24" s="7" t="n">
        <v>0</v>
      </c>
      <c r="H24" s="7" t="n">
        <v>0</v>
      </c>
      <c r="I24" s="8" t="n">
        <v>0.04000000189078801</v>
      </c>
      <c r="J24" s="8" t="n">
        <v>0.04312000189646037</v>
      </c>
      <c r="K24" s="3" t="n">
        <v>0</v>
      </c>
      <c r="L24" s="3" t="n">
        <v>0</v>
      </c>
    </row>
    <row r="25">
      <c r="A25" t="inlineStr">
        <is>
          <t>2026-01-20</t>
        </is>
      </c>
      <c r="B25" s="7" t="n">
        <v>0</v>
      </c>
      <c r="C25" s="7" t="n">
        <v>0</v>
      </c>
      <c r="D25" s="7" t="n">
        <v>0</v>
      </c>
      <c r="E25" s="7" t="n">
        <v>0</v>
      </c>
      <c r="F25" s="7" t="n">
        <v>0</v>
      </c>
      <c r="G25" s="7" t="n">
        <v>0</v>
      </c>
      <c r="H25" s="7" t="n">
        <v>0</v>
      </c>
      <c r="I25" s="8" t="n">
        <v>0.04000000189078801</v>
      </c>
      <c r="J25" s="8" t="n">
        <v>0.04312000189646037</v>
      </c>
      <c r="K25" s="3" t="n">
        <v>0</v>
      </c>
      <c r="L25" s="3" t="n">
        <v>0</v>
      </c>
    </row>
    <row r="26">
      <c r="A26" t="inlineStr">
        <is>
          <t>2026-01-21</t>
        </is>
      </c>
      <c r="B26" s="7" t="n">
        <v>0</v>
      </c>
      <c r="C26" s="7" t="n">
        <v>0</v>
      </c>
      <c r="D26" s="7" t="n">
        <v>0</v>
      </c>
      <c r="E26" s="7" t="n">
        <v>0</v>
      </c>
      <c r="F26" s="7" t="n">
        <v>0</v>
      </c>
      <c r="G26" s="7" t="n">
        <v>0</v>
      </c>
      <c r="H26" s="7" t="n">
        <v>0</v>
      </c>
      <c r="I26" s="8" t="n">
        <v>0.04000000189078801</v>
      </c>
      <c r="J26" s="8" t="n">
        <v>0.04312000189646037</v>
      </c>
      <c r="K26" s="3" t="n">
        <v>0</v>
      </c>
      <c r="L26" s="3" t="n">
        <v>0</v>
      </c>
    </row>
    <row r="27">
      <c r="A27" t="inlineStr">
        <is>
          <t>2026-01-22</t>
        </is>
      </c>
      <c r="B27" s="7" t="n">
        <v>0</v>
      </c>
      <c r="C27" s="7" t="n">
        <v>0</v>
      </c>
      <c r="D27" s="7" t="n">
        <v>0</v>
      </c>
      <c r="E27" s="7" t="n">
        <v>0</v>
      </c>
      <c r="F27" s="7" t="n">
        <v>0</v>
      </c>
      <c r="G27" s="7" t="n">
        <v>0</v>
      </c>
      <c r="H27" s="7" t="n">
        <v>0</v>
      </c>
      <c r="I27" s="8" t="n">
        <v>0.04000000189078801</v>
      </c>
      <c r="J27" s="8" t="n">
        <v>0.04312000189646037</v>
      </c>
      <c r="K27" s="3" t="n">
        <v>0</v>
      </c>
      <c r="L27" s="3" t="n">
        <v>0</v>
      </c>
    </row>
    <row r="28">
      <c r="A28" t="inlineStr">
        <is>
          <t>2026-01-23</t>
        </is>
      </c>
      <c r="B28" s="7" t="n">
        <v>0</v>
      </c>
      <c r="C28" s="7" t="n">
        <v>0</v>
      </c>
      <c r="D28" s="7" t="n">
        <v>0</v>
      </c>
      <c r="E28" s="7" t="n">
        <v>0</v>
      </c>
      <c r="F28" s="7" t="n">
        <v>0</v>
      </c>
      <c r="G28" s="7" t="n">
        <v>0</v>
      </c>
      <c r="H28" s="7" t="n">
        <v>0</v>
      </c>
      <c r="I28" s="8" t="n">
        <v>0.04000000189078801</v>
      </c>
      <c r="J28" s="8" t="n">
        <v>0.04312000189646037</v>
      </c>
      <c r="K28" s="3" t="n">
        <v>0</v>
      </c>
      <c r="L28" s="3" t="n">
        <v>0</v>
      </c>
    </row>
    <row r="29">
      <c r="A29" t="inlineStr">
        <is>
          <t>2026-01-24</t>
        </is>
      </c>
      <c r="B29" s="7" t="n">
        <v>0</v>
      </c>
      <c r="C29" s="7" t="n">
        <v>0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0</v>
      </c>
      <c r="I29" s="8" t="n">
        <v>0.04000000189078801</v>
      </c>
      <c r="J29" s="8" t="n">
        <v>0.04312000189646037</v>
      </c>
      <c r="K29" s="3" t="n">
        <v>0</v>
      </c>
      <c r="L29" s="3" t="n">
        <v>0</v>
      </c>
    </row>
    <row r="30">
      <c r="A30" t="inlineStr">
        <is>
          <t>2026-01-25</t>
        </is>
      </c>
      <c r="B30" s="7" t="n">
        <v>0</v>
      </c>
      <c r="C30" s="7" t="n">
        <v>0</v>
      </c>
      <c r="D30" s="7" t="n">
        <v>0</v>
      </c>
      <c r="E30" s="7" t="n">
        <v>0</v>
      </c>
      <c r="F30" s="7" t="n">
        <v>0</v>
      </c>
      <c r="G30" s="7" t="n">
        <v>0</v>
      </c>
      <c r="H30" s="7" t="n">
        <v>0</v>
      </c>
      <c r="I30" s="8" t="n">
        <v>0.04000000189078801</v>
      </c>
      <c r="J30" s="8" t="n">
        <v>0.04312000189646037</v>
      </c>
      <c r="K30" s="3" t="n">
        <v>0</v>
      </c>
      <c r="L30" s="3" t="n">
        <v>0</v>
      </c>
    </row>
    <row r="31">
      <c r="A31" t="inlineStr">
        <is>
          <t>2026-01-26</t>
        </is>
      </c>
      <c r="B31" s="7" t="n">
        <v>0</v>
      </c>
      <c r="C31" s="7" t="n">
        <v>0</v>
      </c>
      <c r="D31" s="7" t="n">
        <v>0</v>
      </c>
      <c r="E31" s="7" t="n">
        <v>0</v>
      </c>
      <c r="F31" s="7" t="n">
        <v>0</v>
      </c>
      <c r="G31" s="7" t="n">
        <v>0</v>
      </c>
      <c r="H31" s="7" t="n">
        <v>0</v>
      </c>
      <c r="I31" s="8" t="n">
        <v>0.04000000189078801</v>
      </c>
      <c r="J31" s="8" t="n">
        <v>0.04312000189646037</v>
      </c>
      <c r="K31" s="3" t="n">
        <v>0</v>
      </c>
      <c r="L31" s="3" t="n">
        <v>0</v>
      </c>
    </row>
    <row r="32">
      <c r="A32" t="inlineStr">
        <is>
          <t>2026-01-27</t>
        </is>
      </c>
      <c r="B32" s="7" t="n">
        <v>0</v>
      </c>
      <c r="C32" s="7" t="n">
        <v>0</v>
      </c>
      <c r="D32" s="7" t="n">
        <v>0</v>
      </c>
      <c r="E32" s="7" t="n">
        <v>0</v>
      </c>
      <c r="F32" s="7" t="n">
        <v>0</v>
      </c>
      <c r="G32" s="7" t="n">
        <v>0</v>
      </c>
      <c r="H32" s="7" t="n">
        <v>0</v>
      </c>
      <c r="I32" s="8" t="n">
        <v>0.04000000189078801</v>
      </c>
      <c r="J32" s="8" t="n">
        <v>0.04312000189646037</v>
      </c>
      <c r="K32" s="3" t="n">
        <v>0</v>
      </c>
      <c r="L32" s="3" t="n">
        <v>0</v>
      </c>
    </row>
    <row r="33">
      <c r="A33" t="inlineStr">
        <is>
          <t>2026-01-28</t>
        </is>
      </c>
      <c r="B33" s="7" t="n">
        <v>0</v>
      </c>
      <c r="C33" s="7" t="n">
        <v>0</v>
      </c>
      <c r="D33" s="7" t="n">
        <v>0</v>
      </c>
      <c r="E33" s="7" t="n">
        <v>0</v>
      </c>
      <c r="F33" s="7" t="n">
        <v>0</v>
      </c>
      <c r="G33" s="7" t="n">
        <v>0</v>
      </c>
      <c r="H33" s="7" t="n">
        <v>0</v>
      </c>
      <c r="I33" s="8" t="n">
        <v>0.04000000189078801</v>
      </c>
      <c r="J33" s="8" t="n">
        <v>0.04312000189646037</v>
      </c>
      <c r="K33" s="3" t="n">
        <v>0</v>
      </c>
      <c r="L33" s="3" t="n">
        <v>0</v>
      </c>
    </row>
    <row r="34">
      <c r="A34" t="inlineStr">
        <is>
          <t>2026-01-29</t>
        </is>
      </c>
      <c r="B34" s="7" t="n">
        <v>0</v>
      </c>
      <c r="C34" s="7" t="n">
        <v>0</v>
      </c>
      <c r="D34" s="7" t="n">
        <v>0</v>
      </c>
      <c r="E34" s="7" t="n">
        <v>0</v>
      </c>
      <c r="F34" s="7" t="n">
        <v>0</v>
      </c>
      <c r="G34" s="7" t="n">
        <v>0</v>
      </c>
      <c r="H34" s="7" t="n">
        <v>0</v>
      </c>
      <c r="I34" s="8" t="n">
        <v>0.04000000189078801</v>
      </c>
      <c r="J34" s="8" t="n">
        <v>0.04312000189646037</v>
      </c>
      <c r="K34" s="3" t="n">
        <v>0</v>
      </c>
      <c r="L34" s="3" t="n">
        <v>0</v>
      </c>
    </row>
    <row r="35">
      <c r="A35" t="inlineStr">
        <is>
          <t>2026-01-30</t>
        </is>
      </c>
      <c r="B35" s="7" t="n">
        <v>0</v>
      </c>
      <c r="C35" s="7" t="n">
        <v>0</v>
      </c>
      <c r="D35" s="7" t="n">
        <v>0</v>
      </c>
      <c r="E35" s="7" t="n">
        <v>0</v>
      </c>
      <c r="F35" s="7" t="n">
        <v>0</v>
      </c>
      <c r="G35" s="7" t="n">
        <v>0</v>
      </c>
      <c r="H35" s="7" t="n">
        <v>0</v>
      </c>
      <c r="I35" s="8" t="n">
        <v>0.04000000189078801</v>
      </c>
      <c r="J35" s="8" t="n">
        <v>0.04312000189646037</v>
      </c>
      <c r="K35" s="3" t="n">
        <v>0</v>
      </c>
      <c r="L35" s="3" t="n">
        <v>0</v>
      </c>
    </row>
    <row r="36">
      <c r="A36" t="inlineStr">
        <is>
          <t>2026-01-31</t>
        </is>
      </c>
      <c r="B36" s="7" t="n">
        <v>0</v>
      </c>
      <c r="C36" s="7" t="n">
        <v>0</v>
      </c>
      <c r="D36" s="7" t="n">
        <v>0</v>
      </c>
      <c r="E36" s="7" t="n">
        <v>0</v>
      </c>
      <c r="F36" s="7" t="n">
        <v>0</v>
      </c>
      <c r="G36" s="7" t="n">
        <v>0</v>
      </c>
      <c r="H36" s="7" t="n">
        <v>0</v>
      </c>
      <c r="I36" s="8" t="n">
        <v>0.04000000189078801</v>
      </c>
      <c r="J36" s="8" t="n">
        <v>0.04312000189646037</v>
      </c>
      <c r="K36" s="3" t="n">
        <v>0</v>
      </c>
      <c r="L36" s="3" t="n">
        <v>0</v>
      </c>
    </row>
    <row r="38">
      <c r="A38" s="9" t="inlineStr">
        <is>
          <t>Σ daily charges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s="10" t="n">
        <v>0</v>
      </c>
      <c r="L38" s="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2026-07-31T12:31:20Z</dcterms:created>
  <dcterms:modified xsi:type="dcterms:W3CDTF">2026-07-31T12:31:20Z</dcterms:modified>
</cp:coreProperties>
</file>