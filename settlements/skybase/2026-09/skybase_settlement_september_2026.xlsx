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&quot;−$&quot;#,##0.00;&quot;$&quot;0.00"/>
    <numFmt numFmtId="165" formatCode="#,##0.000000"/>
    <numFmt numFmtId="166" formatCode="&quot;$&quot;#,##0;&quot;−$&quot;#,##0;&quot;$&quot;0"/>
    <numFmt numFmtId="167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5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SKYBASE — Monthly settlement 2026-09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38076.00592025869</v>
      </c>
    </row>
    <row r="6">
      <c r="A6" t="inlineStr">
        <is>
          <t>+ distribution_rewards (settle-dr-dune)</t>
        </is>
      </c>
      <c r="B6" s="3" t="n">
        <v>105735.7496915168</v>
      </c>
    </row>
    <row r="7">
      <c r="A7" t="inlineStr"/>
      <c r="B7" s="4" t="n">
        <v>143811.7556117754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0</v>
      </c>
    </row>
    <row r="11">
      <c r="A11" t="inlineStr">
        <is>
          <t>+ SDE revenue (Sky-Direct, full to Sky)</t>
        </is>
      </c>
      <c r="B11" s="3" t="n">
        <v>0</v>
      </c>
    </row>
    <row r="12">
      <c r="A12" t="inlineStr"/>
      <c r="B12" s="4" t="n">
        <v>0</v>
      </c>
    </row>
    <row r="14">
      <c r="A14" s="2" t="inlineStr">
        <is>
          <t>Comparison (Grove-style "Profit to Grove")</t>
        </is>
      </c>
      <c r="B14" s="2" t="inlineStr">
        <is>
          <t>USD</t>
        </is>
      </c>
    </row>
    <row r="15">
      <c r="A15" t="inlineStr">
        <is>
          <t>prime_agent_revenue</t>
        </is>
      </c>
      <c r="B15" s="3" t="n">
        <v>0</v>
      </c>
    </row>
    <row r="16">
      <c r="A16" t="inlineStr">
        <is>
          <t>− CoF (deducted per-venue in display)</t>
        </is>
      </c>
      <c r="B16" s="3" t="n">
        <v>0</v>
      </c>
    </row>
    <row r="17">
      <c r="A17" t="inlineStr"/>
      <c r="B17" s="4" t="n">
        <v>0</v>
      </c>
    </row>
    <row r="19">
      <c r="A19" s="2" t="inlineStr">
        <is>
          <t>Settlement payment (historical corrections separately identified)</t>
        </is>
      </c>
      <c r="B19" s="2" t="inlineStr">
        <is>
          <t>USD</t>
        </is>
      </c>
    </row>
    <row r="20">
      <c r="A20" t="inlineStr">
        <is>
          <t>Current-period net revenue</t>
        </is>
      </c>
      <c r="B20" s="5" t="n">
        <v>143811.7556117754</v>
      </c>
    </row>
    <row r="21">
      <c r="A21" t="inlineStr">
        <is>
          <t>Pendle / code 1997 — 2026-01 through 2026-08</t>
        </is>
      </c>
      <c r="B21" s="5" t="n">
        <v>41560.042993</v>
      </c>
    </row>
    <row r="22">
      <c r="A22" t="inlineStr">
        <is>
          <t>Flagship / code 1998 — 2026-01 through 2026-08</t>
        </is>
      </c>
      <c r="B22" s="5" t="n">
        <v>71804.679106</v>
      </c>
    </row>
    <row r="23">
      <c r="A23" t="inlineStr">
        <is>
          <t>Risk Capital / code 1999 — 2026-01 through 2026-08</t>
        </is>
      </c>
      <c r="B23" s="5" t="n">
        <v>1782.888077</v>
      </c>
    </row>
    <row r="24">
      <c r="A24" t="inlineStr">
        <is>
          <t>Grove Farm / codes 0/1/1002 — 2026-07 through 2026-08</t>
        </is>
      </c>
      <c r="B24" s="5" t="n">
        <v>61966.169912</v>
      </c>
    </row>
    <row r="25">
      <c r="A25" t="inlineStr"/>
      <c r="B25" s="6" t="n">
        <v>320925.5356997754</v>
      </c>
    </row>
    <row r="26">
      <c r="A26" t="inlineStr">
        <is>
          <t>Historical corrections are excluded from current-period revenue.</t>
        </is>
      </c>
    </row>
    <row r="28">
      <c r="A28" t="inlineStr">
        <is>
          <t>Period</t>
        </is>
      </c>
      <c r="B28" t="inlineStr">
        <is>
          <t>2026-09-01 → 2026-09-30 (30 days)</t>
        </is>
      </c>
    </row>
    <row r="29">
      <c r="A29" t="inlineStr">
        <is>
          <t>Pin blocks</t>
        </is>
      </c>
      <c r="B29" t="inlineStr">
        <is>
          <t>ethereum=26093737</t>
        </is>
      </c>
    </row>
    <row r="30">
      <c r="A30" t="inlineStr">
        <is>
          <t>Generated</t>
        </is>
      </c>
      <c r="B30" t="inlineStr">
        <is>
          <t>2026-10-01T15:36:11+00:00</t>
        </is>
      </c>
    </row>
    <row r="31">
      <c r="A31" t="inlineStr">
        <is>
          <t>Pipeline</t>
        </is>
      </c>
      <c r="B31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7" t="inlineStr">
        <is>
          <t>Utilized base = cum_debt − idle USDS − PSM USDS − Σ SDE asset value − Curve idle − lending idle</t>
        </is>
      </c>
    </row>
    <row r="11">
      <c r="A11" s="7" t="inlineStr">
        <is>
          <t>Base rate composition: base_apr = apy_to_apr(SSR, n=12) + spread (nominal; spread 30bps, 20bps from 2026-07-23). Daily charge = utilized_d x base_apr / 365 — no intra-month compounding.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8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base_apr = apy_to_apr(SSR, n=12) + spread (nominal; spread 30bps, 20bps from 2026-07-23). sub_apr applies on the first cap_usd of utilized when the subsidy is active; excess pays base_apr.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APR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2026-09-01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10" t="n">
        <v>0.03519999850777533</v>
      </c>
      <c r="J6" s="10" t="n">
        <v>0.03664455749990904</v>
      </c>
      <c r="K6" s="3" t="n">
        <v>0</v>
      </c>
      <c r="L6" s="3" t="n">
        <v>0</v>
      </c>
    </row>
    <row r="7">
      <c r="A7" t="inlineStr">
        <is>
          <t>2026-09-02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10" t="n">
        <v>0.03519999850777533</v>
      </c>
      <c r="J7" s="10" t="n">
        <v>0.03664455749990904</v>
      </c>
      <c r="K7" s="3" t="n">
        <v>0</v>
      </c>
      <c r="L7" s="3" t="n">
        <v>0</v>
      </c>
    </row>
    <row r="8">
      <c r="A8" t="inlineStr">
        <is>
          <t>2026-09-03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10" t="n">
        <v>0.03600000425292382</v>
      </c>
      <c r="J8" s="10" t="n">
        <v>0.03741931731351311</v>
      </c>
      <c r="K8" s="3" t="n">
        <v>0</v>
      </c>
      <c r="L8" s="3" t="n">
        <v>0</v>
      </c>
    </row>
    <row r="9">
      <c r="A9" t="inlineStr">
        <is>
          <t>2026-09-04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10" t="n">
        <v>0.03600000425292382</v>
      </c>
      <c r="J9" s="10" t="n">
        <v>0.03741931731351311</v>
      </c>
      <c r="K9" s="3" t="n">
        <v>0</v>
      </c>
      <c r="L9" s="3" t="n">
        <v>0</v>
      </c>
    </row>
    <row r="10">
      <c r="A10" t="inlineStr">
        <is>
          <t>2026-09-05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10" t="n">
        <v>0.03600000425292382</v>
      </c>
      <c r="J10" s="10" t="n">
        <v>0.03741931731351311</v>
      </c>
      <c r="K10" s="3" t="n">
        <v>0</v>
      </c>
      <c r="L10" s="3" t="n">
        <v>0</v>
      </c>
    </row>
    <row r="11">
      <c r="A11" t="inlineStr">
        <is>
          <t>2026-09-06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10" t="n">
        <v>0.03600000425292382</v>
      </c>
      <c r="J11" s="10" t="n">
        <v>0.03741931731351311</v>
      </c>
      <c r="K11" s="3" t="n">
        <v>0</v>
      </c>
      <c r="L11" s="3" t="n">
        <v>0</v>
      </c>
    </row>
    <row r="12">
      <c r="A12" t="inlineStr">
        <is>
          <t>2026-09-07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10" t="n">
        <v>0.03600000425292382</v>
      </c>
      <c r="J12" s="10" t="n">
        <v>0.03741931731351311</v>
      </c>
      <c r="K12" s="3" t="n">
        <v>0</v>
      </c>
      <c r="L12" s="3" t="n">
        <v>0</v>
      </c>
    </row>
    <row r="13">
      <c r="A13" t="inlineStr">
        <is>
          <t>2026-09-08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10" t="n">
        <v>0.03600000425292382</v>
      </c>
      <c r="J13" s="10" t="n">
        <v>0.03741931731351311</v>
      </c>
      <c r="K13" s="3" t="n">
        <v>0</v>
      </c>
      <c r="L13" s="3" t="n">
        <v>0</v>
      </c>
    </row>
    <row r="14">
      <c r="A14" t="inlineStr">
        <is>
          <t>2026-09-09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10" t="n">
        <v>0.03600000425292382</v>
      </c>
      <c r="J14" s="10" t="n">
        <v>0.03741931731351311</v>
      </c>
      <c r="K14" s="3" t="n">
        <v>0</v>
      </c>
      <c r="L14" s="3" t="n">
        <v>0</v>
      </c>
    </row>
    <row r="15">
      <c r="A15" t="inlineStr">
        <is>
          <t>2026-09-10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10" t="n">
        <v>0.03600000425292382</v>
      </c>
      <c r="J15" s="10" t="n">
        <v>0.03741931731351311</v>
      </c>
      <c r="K15" s="3" t="n">
        <v>0</v>
      </c>
      <c r="L15" s="3" t="n">
        <v>0</v>
      </c>
    </row>
    <row r="16">
      <c r="A16" t="inlineStr">
        <is>
          <t>2026-09-11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10" t="n">
        <v>0.03600000425292382</v>
      </c>
      <c r="J16" s="10" t="n">
        <v>0.03741931731351311</v>
      </c>
      <c r="K16" s="3" t="n">
        <v>0</v>
      </c>
      <c r="L16" s="3" t="n">
        <v>0</v>
      </c>
    </row>
    <row r="17">
      <c r="A17" t="inlineStr">
        <is>
          <t>2026-09-12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10" t="n">
        <v>0.03600000425292382</v>
      </c>
      <c r="J17" s="10" t="n">
        <v>0.03741931731351311</v>
      </c>
      <c r="K17" s="3" t="n">
        <v>0</v>
      </c>
      <c r="L17" s="3" t="n">
        <v>0</v>
      </c>
    </row>
    <row r="18">
      <c r="A18" t="inlineStr">
        <is>
          <t>2026-09-13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10" t="n">
        <v>0.03600000425292382</v>
      </c>
      <c r="J18" s="10" t="n">
        <v>0.03741931731351311</v>
      </c>
      <c r="K18" s="3" t="n">
        <v>0</v>
      </c>
      <c r="L18" s="3" t="n">
        <v>0</v>
      </c>
    </row>
    <row r="19">
      <c r="A19" t="inlineStr">
        <is>
          <t>2026-09-14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10" t="n">
        <v>0.03600000425292382</v>
      </c>
      <c r="J19" s="10" t="n">
        <v>0.03741931731351311</v>
      </c>
      <c r="K19" s="3" t="n">
        <v>0</v>
      </c>
      <c r="L19" s="3" t="n">
        <v>0</v>
      </c>
    </row>
    <row r="20">
      <c r="A20" t="inlineStr">
        <is>
          <t>2026-09-15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10" t="n">
        <v>0.03600000425292382</v>
      </c>
      <c r="J20" s="10" t="n">
        <v>0.03741931731351311</v>
      </c>
      <c r="K20" s="3" t="n">
        <v>0</v>
      </c>
      <c r="L20" s="3" t="n">
        <v>0</v>
      </c>
    </row>
    <row r="21">
      <c r="A21" t="inlineStr">
        <is>
          <t>2026-09-16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10" t="n">
        <v>0.03600000425292382</v>
      </c>
      <c r="J21" s="10" t="n">
        <v>0.03741931731351311</v>
      </c>
      <c r="K21" s="3" t="n">
        <v>0</v>
      </c>
      <c r="L21" s="3" t="n">
        <v>0</v>
      </c>
    </row>
    <row r="22">
      <c r="A22" t="inlineStr">
        <is>
          <t>2026-09-17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10" t="n">
        <v>0.03600000425292382</v>
      </c>
      <c r="J22" s="10" t="n">
        <v>0.03741931731351311</v>
      </c>
      <c r="K22" s="3" t="n">
        <v>0</v>
      </c>
      <c r="L22" s="3" t="n">
        <v>0</v>
      </c>
    </row>
    <row r="23">
      <c r="A23" t="inlineStr">
        <is>
          <t>2026-09-18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10" t="n">
        <v>0.03600000425292382</v>
      </c>
      <c r="J23" s="10" t="n">
        <v>0.03741931731351311</v>
      </c>
      <c r="K23" s="3" t="n">
        <v>0</v>
      </c>
      <c r="L23" s="3" t="n">
        <v>0</v>
      </c>
    </row>
    <row r="24">
      <c r="A24" t="inlineStr">
        <is>
          <t>2026-09-19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10" t="n">
        <v>0.03600000425292382</v>
      </c>
      <c r="J24" s="10" t="n">
        <v>0.03741931731351311</v>
      </c>
      <c r="K24" s="3" t="n">
        <v>0</v>
      </c>
      <c r="L24" s="3" t="n">
        <v>0</v>
      </c>
    </row>
    <row r="25">
      <c r="A25" t="inlineStr">
        <is>
          <t>2026-09-20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10" t="n">
        <v>0.03600000425292382</v>
      </c>
      <c r="J25" s="10" t="n">
        <v>0.03741931731351311</v>
      </c>
      <c r="K25" s="3" t="n">
        <v>0</v>
      </c>
      <c r="L25" s="3" t="n">
        <v>0</v>
      </c>
    </row>
    <row r="26">
      <c r="A26" t="inlineStr">
        <is>
          <t>2026-09-21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10" t="n">
        <v>0.03600000425292382</v>
      </c>
      <c r="J26" s="10" t="n">
        <v>0.03741931731351311</v>
      </c>
      <c r="K26" s="3" t="n">
        <v>0</v>
      </c>
      <c r="L26" s="3" t="n">
        <v>0</v>
      </c>
    </row>
    <row r="27">
      <c r="A27" t="inlineStr">
        <is>
          <t>2026-09-22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10" t="n">
        <v>0.03600000425292382</v>
      </c>
      <c r="J27" s="10" t="n">
        <v>0.03741931731351311</v>
      </c>
      <c r="K27" s="3" t="n">
        <v>0</v>
      </c>
      <c r="L27" s="3" t="n">
        <v>0</v>
      </c>
    </row>
    <row r="28">
      <c r="A28" t="inlineStr">
        <is>
          <t>2026-09-23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10" t="n">
        <v>0.03600000425292382</v>
      </c>
      <c r="J28" s="10" t="n">
        <v>0.03741931731351311</v>
      </c>
      <c r="K28" s="3" t="n">
        <v>0</v>
      </c>
      <c r="L28" s="3" t="n">
        <v>0</v>
      </c>
    </row>
    <row r="29">
      <c r="A29" t="inlineStr">
        <is>
          <t>2026-09-24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10" t="n">
        <v>0.03600000425292382</v>
      </c>
      <c r="J29" s="10" t="n">
        <v>0.03741931731351311</v>
      </c>
      <c r="K29" s="3" t="n">
        <v>0</v>
      </c>
      <c r="L29" s="3" t="n">
        <v>0</v>
      </c>
    </row>
    <row r="30">
      <c r="A30" t="inlineStr">
        <is>
          <t>2026-09-25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10" t="n">
        <v>0.03600000425292382</v>
      </c>
      <c r="J30" s="10" t="n">
        <v>0.03741931731351311</v>
      </c>
      <c r="K30" s="3" t="n">
        <v>0</v>
      </c>
      <c r="L30" s="3" t="n">
        <v>0</v>
      </c>
    </row>
    <row r="31">
      <c r="A31" t="inlineStr">
        <is>
          <t>2026-09-26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10" t="n">
        <v>0.03600000425292382</v>
      </c>
      <c r="J31" s="10" t="n">
        <v>0.03741931731351311</v>
      </c>
      <c r="K31" s="3" t="n">
        <v>0</v>
      </c>
      <c r="L31" s="3" t="n">
        <v>0</v>
      </c>
    </row>
    <row r="32">
      <c r="A32" t="inlineStr">
        <is>
          <t>2026-09-27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10" t="n">
        <v>0.03600000425292382</v>
      </c>
      <c r="J32" s="10" t="n">
        <v>0.03741931731351311</v>
      </c>
      <c r="K32" s="3" t="n">
        <v>0</v>
      </c>
      <c r="L32" s="3" t="n">
        <v>0</v>
      </c>
    </row>
    <row r="33">
      <c r="A33" t="inlineStr">
        <is>
          <t>2026-09-28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10" t="n">
        <v>0.03600000425292382</v>
      </c>
      <c r="J33" s="10" t="n">
        <v>0.03741931731351311</v>
      </c>
      <c r="K33" s="3" t="n">
        <v>0</v>
      </c>
      <c r="L33" s="3" t="n">
        <v>0</v>
      </c>
    </row>
    <row r="34">
      <c r="A34" t="inlineStr">
        <is>
          <t>2026-09-29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10" t="n">
        <v>0.03600000425292382</v>
      </c>
      <c r="J34" s="10" t="n">
        <v>0.03741931731351311</v>
      </c>
      <c r="K34" s="3" t="n">
        <v>0</v>
      </c>
      <c r="L34" s="3" t="n">
        <v>0</v>
      </c>
    </row>
    <row r="35">
      <c r="A35" t="inlineStr">
        <is>
          <t>2026-09-30</t>
        </is>
      </c>
      <c r="B35" s="9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10" t="n">
        <v>0.03600000425292382</v>
      </c>
      <c r="J35" s="10" t="n">
        <v>0.03741931731351311</v>
      </c>
      <c r="K35" s="3" t="n">
        <v>0</v>
      </c>
      <c r="L35" s="3" t="n">
        <v>0</v>
      </c>
    </row>
    <row r="37">
      <c r="A37" s="11" t="inlineStr">
        <is>
          <t>Σ daily charges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s="12" t="n">
        <v>0</v>
      </c>
      <c r="L37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2026-10-01T18:02:25Z</dcterms:created>
  <dcterms:modified xsi:type="dcterms:W3CDTF">2026-10-01T18:02:25Z</dcterms:modified>
</cp:coreProperties>
</file>