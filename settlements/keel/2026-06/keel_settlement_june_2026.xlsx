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enues" sheetId="2" state="visible" r:id="rId2"/>
    <sheet name="Sky Revenue" sheetId="3" state="visible" r:id="rId3"/>
    <sheet name="Sky Direct" sheetId="4" state="visible" r:id="rId4"/>
    <sheet name="Deb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;&quot;−$&quot;#,##0.00;&quot;$&quot;0.00"/>
    <numFmt numFmtId="165" formatCode="&quot;$&quot;#,##0;&quot;−$&quot;#,##0;&quot;$&quot;0"/>
    <numFmt numFmtId="166" formatCode="0.00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KEEL — Monthly settlement 2026-06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0</v>
      </c>
    </row>
    <row r="5">
      <c r="A5" t="inlineStr">
        <is>
          <t>+ agent_rate (subproxy USDS / sUSDS yield)</t>
        </is>
      </c>
      <c r="B5" s="3" t="n">
        <v>30997.79005858496</v>
      </c>
    </row>
    <row r="6">
      <c r="A6" t="inlineStr">
        <is>
          <t>+ distribution_rewards (settle-dr-dune)</t>
        </is>
      </c>
      <c r="B6" s="3" t="n">
        <v>19688.27</v>
      </c>
    </row>
    <row r="7">
      <c r="A7" t="inlineStr"/>
      <c r="B7" s="4" t="n">
        <v>50686.06005858496</v>
      </c>
    </row>
    <row r="9">
      <c r="A9" s="2" t="inlineStr">
        <is>
          <t>Sky side</t>
        </is>
      </c>
      <c r="B9" s="2" t="inlineStr">
        <is>
          <t>USD</t>
        </is>
      </c>
    </row>
    <row r="10">
      <c r="A10" t="inlineStr">
        <is>
          <t>CoF on utilized (BR × Net_Subs)</t>
        </is>
      </c>
      <c r="B10" s="3" t="n">
        <v>0</v>
      </c>
    </row>
    <row r="11">
      <c r="A11" t="inlineStr">
        <is>
          <t>+ SDE revenue (Sky-Direct, full to Sky)</t>
        </is>
      </c>
      <c r="B11" s="3" t="n">
        <v>0</v>
      </c>
    </row>
    <row r="12">
      <c r="A12" t="inlineStr"/>
      <c r="B12" s="4" t="n">
        <v>0</v>
      </c>
    </row>
    <row r="14">
      <c r="A14" s="2" t="inlineStr">
        <is>
          <t>Comparison (Grove-style "Profit to Grove")</t>
        </is>
      </c>
      <c r="B14" s="2" t="inlineStr">
        <is>
          <t>USD</t>
        </is>
      </c>
    </row>
    <row r="15">
      <c r="A15" t="inlineStr">
        <is>
          <t>prime_agent_revenue</t>
        </is>
      </c>
      <c r="B15" s="3" t="n">
        <v>0</v>
      </c>
    </row>
    <row r="16">
      <c r="A16" t="inlineStr">
        <is>
          <t>− CoF (deducted per-venue in display)</t>
        </is>
      </c>
      <c r="B16" s="3" t="n">
        <v>0</v>
      </c>
    </row>
    <row r="17">
      <c r="A17" t="inlineStr"/>
      <c r="B17" s="4" t="n">
        <v>0</v>
      </c>
    </row>
    <row r="19">
      <c r="A19" t="inlineStr">
        <is>
          <t>Period</t>
        </is>
      </c>
      <c r="B19" t="inlineStr">
        <is>
          <t>2026-06-01 → 2026-06-30 (30 days)</t>
        </is>
      </c>
    </row>
    <row r="20">
      <c r="A20" t="inlineStr">
        <is>
          <t>Pin blocks</t>
        </is>
      </c>
      <c r="B20" t="inlineStr">
        <is>
          <t>ethereum=25433938</t>
        </is>
      </c>
    </row>
    <row r="21">
      <c r="A21" t="inlineStr">
        <is>
          <t>Generated</t>
        </is>
      </c>
      <c r="B21" t="inlineStr">
        <is>
          <t>2026-07-15T11:29:03+00:00</t>
        </is>
      </c>
    </row>
    <row r="22">
      <c r="A22" t="inlineStr">
        <is>
          <t>Pipeline</t>
        </is>
      </c>
      <c r="B22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2" t="inlineStr">
        <is>
          <t>Component</t>
        </is>
      </c>
      <c r="B3" s="2" t="inlineStr">
        <is>
          <t>USD</t>
        </is>
      </c>
    </row>
    <row r="4">
      <c r="A4" t="inlineStr">
        <is>
          <t>CoF on utilized debt (= Σ_d max(utilized_d,0) × (1+BR_d)^(1/365)−1)</t>
        </is>
      </c>
      <c r="B4" s="3" t="n">
        <v>0</v>
      </c>
    </row>
    <row r="5">
      <c r="A5" t="inlineStr">
        <is>
          <t>+ Sky-Direct revenue (full venue yield on fixed/capped SDE)</t>
        </is>
      </c>
      <c r="B5" s="3" t="n">
        <v>0</v>
      </c>
    </row>
    <row r="6">
      <c r="A6" t="inlineStr">
        <is>
          <t>equals sky_revenue (total Sky take this month)</t>
        </is>
      </c>
      <c r="B6" s="3" t="n">
        <v>0</v>
      </c>
    </row>
    <row r="8">
      <c r="A8" s="5" t="inlineStr">
        <is>
          <t>Utilized base = cum_debt − idle USDS − PSM USDS − Σ SDE asset value − Curve idle − lending idle</t>
        </is>
      </c>
    </row>
    <row r="11">
      <c r="A11" s="5" t="inlineStr">
        <is>
          <t>Base rate composition: base_apy = (1 + SSR)(1 + spread) − 1 (multiplicative; spread 30bps, 20bps from 2026-07-23)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8" customWidth="1" min="11" max="11"/>
    <col width="22" customWidth="1" min="12" max="12"/>
  </cols>
  <sheetData>
    <row r="1">
      <c r="A1" s="1" t="inlineStr">
        <is>
          <t>Daily ilk debt + Sky charge breakdown</t>
        </is>
      </c>
    </row>
    <row r="3" ht="45" customHeight="1">
      <c r="A3" s="6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base_apy = (1+SSR)(1+spread)−1 (multiplicative; spread 30bps, 20bps from 2026-07-23). sub_apy applies on the first cap_usd of utilized when the subsidy is active; excess pays base_apy.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APY</t>
        </is>
      </c>
      <c r="K5" s="2" t="inlineStr">
        <is>
          <t>daily Sky charge</t>
        </is>
      </c>
      <c r="L5" s="2" t="inlineStr">
        <is>
          <t>daily Sky charge (gross on cum_debt)</t>
        </is>
      </c>
    </row>
    <row r="6">
      <c r="A6" t="inlineStr">
        <is>
          <t>2026-06-01</t>
        </is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8" t="n">
        <v>0.03600000425292382</v>
      </c>
      <c r="J6" s="8" t="n">
        <v>0.03910800426568259</v>
      </c>
      <c r="K6" s="3" t="n">
        <v>0</v>
      </c>
      <c r="L6" s="3" t="n">
        <v>0</v>
      </c>
    </row>
    <row r="7">
      <c r="A7" t="inlineStr">
        <is>
          <t>2026-06-02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8" t="n">
        <v>0.03600000425292382</v>
      </c>
      <c r="J7" s="8" t="n">
        <v>0.03910800426568259</v>
      </c>
      <c r="K7" s="3" t="n">
        <v>0</v>
      </c>
      <c r="L7" s="3" t="n">
        <v>0</v>
      </c>
    </row>
    <row r="8">
      <c r="A8" t="inlineStr">
        <is>
          <t>2026-06-03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8" t="n">
        <v>0.03600000425292382</v>
      </c>
      <c r="J8" s="8" t="n">
        <v>0.03910800426568259</v>
      </c>
      <c r="K8" s="3" t="n">
        <v>0</v>
      </c>
      <c r="L8" s="3" t="n">
        <v>0</v>
      </c>
    </row>
    <row r="9">
      <c r="A9" t="inlineStr">
        <is>
          <t>2026-06-04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8" t="n">
        <v>0.03600000425292382</v>
      </c>
      <c r="J9" s="8" t="n">
        <v>0.03910800426568259</v>
      </c>
      <c r="K9" s="3" t="n">
        <v>0</v>
      </c>
      <c r="L9" s="3" t="n">
        <v>0</v>
      </c>
    </row>
    <row r="10">
      <c r="A10" t="inlineStr">
        <is>
          <t>2026-06-05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8" t="n">
        <v>0.03600000425292382</v>
      </c>
      <c r="J10" s="8" t="n">
        <v>0.03910800426568259</v>
      </c>
      <c r="K10" s="3" t="n">
        <v>0</v>
      </c>
      <c r="L10" s="3" t="n">
        <v>0</v>
      </c>
    </row>
    <row r="11">
      <c r="A11" t="inlineStr">
        <is>
          <t>2026-06-06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8" t="n">
        <v>0.03600000425292382</v>
      </c>
      <c r="J11" s="8" t="n">
        <v>0.03910800426568259</v>
      </c>
      <c r="K11" s="3" t="n">
        <v>0</v>
      </c>
      <c r="L11" s="3" t="n">
        <v>0</v>
      </c>
    </row>
    <row r="12">
      <c r="A12" t="inlineStr">
        <is>
          <t>2026-06-07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8" t="n">
        <v>0.03600000425292382</v>
      </c>
      <c r="J12" s="8" t="n">
        <v>0.03910800426568259</v>
      </c>
      <c r="K12" s="3" t="n">
        <v>0</v>
      </c>
      <c r="L12" s="3" t="n">
        <v>0</v>
      </c>
    </row>
    <row r="13">
      <c r="A13" t="inlineStr">
        <is>
          <t>2026-06-08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8" t="n">
        <v>0.03600000425292382</v>
      </c>
      <c r="J13" s="8" t="n">
        <v>0.03910800426568259</v>
      </c>
      <c r="K13" s="3" t="n">
        <v>0</v>
      </c>
      <c r="L13" s="3" t="n">
        <v>0</v>
      </c>
    </row>
    <row r="14">
      <c r="A14" t="inlineStr">
        <is>
          <t>2026-06-09</t>
        </is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8" t="n">
        <v>0.03600000425292382</v>
      </c>
      <c r="J14" s="8" t="n">
        <v>0.03910800426568259</v>
      </c>
      <c r="K14" s="3" t="n">
        <v>0</v>
      </c>
      <c r="L14" s="3" t="n">
        <v>0</v>
      </c>
    </row>
    <row r="15">
      <c r="A15" t="inlineStr">
        <is>
          <t>2026-06-10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8" t="n">
        <v>0.03600000425292382</v>
      </c>
      <c r="J15" s="8" t="n">
        <v>0.03910800426568259</v>
      </c>
      <c r="K15" s="3" t="n">
        <v>0</v>
      </c>
      <c r="L15" s="3" t="n">
        <v>0</v>
      </c>
    </row>
    <row r="16">
      <c r="A16" t="inlineStr">
        <is>
          <t>2026-06-11</t>
        </is>
      </c>
      <c r="B16" s="7" t="n">
        <v>0</v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8" t="n">
        <v>0.03600000425292382</v>
      </c>
      <c r="J16" s="8" t="n">
        <v>0.03910800426568259</v>
      </c>
      <c r="K16" s="3" t="n">
        <v>0</v>
      </c>
      <c r="L16" s="3" t="n">
        <v>0</v>
      </c>
    </row>
    <row r="17">
      <c r="A17" t="inlineStr">
        <is>
          <t>2026-06-12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8" t="n">
        <v>0.03600000425292382</v>
      </c>
      <c r="J17" s="8" t="n">
        <v>0.03910800426568259</v>
      </c>
      <c r="K17" s="3" t="n">
        <v>0</v>
      </c>
      <c r="L17" s="3" t="n">
        <v>0</v>
      </c>
    </row>
    <row r="18">
      <c r="A18" t="inlineStr">
        <is>
          <t>2026-06-13</t>
        </is>
      </c>
      <c r="B18" s="7" t="n">
        <v>0</v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8" t="n">
        <v>0.03600000425292382</v>
      </c>
      <c r="J18" s="8" t="n">
        <v>0.03910800426568259</v>
      </c>
      <c r="K18" s="3" t="n">
        <v>0</v>
      </c>
      <c r="L18" s="3" t="n">
        <v>0</v>
      </c>
    </row>
    <row r="19">
      <c r="A19" t="inlineStr">
        <is>
          <t>2026-06-14</t>
        </is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8" t="n">
        <v>0.03600000425292382</v>
      </c>
      <c r="J19" s="8" t="n">
        <v>0.03910800426568259</v>
      </c>
      <c r="K19" s="3" t="n">
        <v>0</v>
      </c>
      <c r="L19" s="3" t="n">
        <v>0</v>
      </c>
    </row>
    <row r="20">
      <c r="A20" t="inlineStr">
        <is>
          <t>2026-06-15</t>
        </is>
      </c>
      <c r="B20" s="7" t="n">
        <v>0</v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8" t="n">
        <v>0.03600000425292382</v>
      </c>
      <c r="J20" s="8" t="n">
        <v>0.03910800426568259</v>
      </c>
      <c r="K20" s="3" t="n">
        <v>0</v>
      </c>
      <c r="L20" s="3" t="n">
        <v>0</v>
      </c>
    </row>
    <row r="21">
      <c r="A21" t="inlineStr">
        <is>
          <t>2026-06-16</t>
        </is>
      </c>
      <c r="B21" s="7" t="n">
        <v>0</v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8" t="n">
        <v>0.03600000425292382</v>
      </c>
      <c r="J21" s="8" t="n">
        <v>0.03910800426568259</v>
      </c>
      <c r="K21" s="3" t="n">
        <v>0</v>
      </c>
      <c r="L21" s="3" t="n">
        <v>0</v>
      </c>
    </row>
    <row r="22">
      <c r="A22" t="inlineStr">
        <is>
          <t>2026-06-17</t>
        </is>
      </c>
      <c r="B22" s="7" t="n">
        <v>0</v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8" t="n">
        <v>0.03600000425292382</v>
      </c>
      <c r="J22" s="8" t="n">
        <v>0.03910800426568259</v>
      </c>
      <c r="K22" s="3" t="n">
        <v>0</v>
      </c>
      <c r="L22" s="3" t="n">
        <v>0</v>
      </c>
    </row>
    <row r="23">
      <c r="A23" t="inlineStr">
        <is>
          <t>2026-06-18</t>
        </is>
      </c>
      <c r="B23" s="7" t="n">
        <v>0</v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8" t="n">
        <v>0.03600000425292382</v>
      </c>
      <c r="J23" s="8" t="n">
        <v>0.03910800426568259</v>
      </c>
      <c r="K23" s="3" t="n">
        <v>0</v>
      </c>
      <c r="L23" s="3" t="n">
        <v>0</v>
      </c>
    </row>
    <row r="24">
      <c r="A24" t="inlineStr">
        <is>
          <t>2026-06-19</t>
        </is>
      </c>
      <c r="B24" s="7" t="n">
        <v>0</v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8" t="n">
        <v>0.03600000425292382</v>
      </c>
      <c r="J24" s="8" t="n">
        <v>0.03910800426568259</v>
      </c>
      <c r="K24" s="3" t="n">
        <v>0</v>
      </c>
      <c r="L24" s="3" t="n">
        <v>0</v>
      </c>
    </row>
    <row r="25">
      <c r="A25" t="inlineStr">
        <is>
          <t>2026-06-20</t>
        </is>
      </c>
      <c r="B25" s="7" t="n">
        <v>0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8" t="n">
        <v>0.03600000425292382</v>
      </c>
      <c r="J25" s="8" t="n">
        <v>0.03910800426568259</v>
      </c>
      <c r="K25" s="3" t="n">
        <v>0</v>
      </c>
      <c r="L25" s="3" t="n">
        <v>0</v>
      </c>
    </row>
    <row r="26">
      <c r="A26" t="inlineStr">
        <is>
          <t>2026-06-21</t>
        </is>
      </c>
      <c r="B26" s="7" t="n">
        <v>0</v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8" t="n">
        <v>0.03600000425292382</v>
      </c>
      <c r="J26" s="8" t="n">
        <v>0.03910800426568259</v>
      </c>
      <c r="K26" s="3" t="n">
        <v>0</v>
      </c>
      <c r="L26" s="3" t="n">
        <v>0</v>
      </c>
    </row>
    <row r="27">
      <c r="A27" t="inlineStr">
        <is>
          <t>2026-06-22</t>
        </is>
      </c>
      <c r="B27" s="7" t="n">
        <v>0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8" t="n">
        <v>0.03600000425292382</v>
      </c>
      <c r="J27" s="8" t="n">
        <v>0.03910800426568259</v>
      </c>
      <c r="K27" s="3" t="n">
        <v>0</v>
      </c>
      <c r="L27" s="3" t="n">
        <v>0</v>
      </c>
    </row>
    <row r="28">
      <c r="A28" t="inlineStr">
        <is>
          <t>2026-06-23</t>
        </is>
      </c>
      <c r="B28" s="7" t="n">
        <v>0</v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8" t="n">
        <v>0.03600000425292382</v>
      </c>
      <c r="J28" s="8" t="n">
        <v>0.03910800426568259</v>
      </c>
      <c r="K28" s="3" t="n">
        <v>0</v>
      </c>
      <c r="L28" s="3" t="n">
        <v>0</v>
      </c>
    </row>
    <row r="29">
      <c r="A29" t="inlineStr">
        <is>
          <t>2026-06-24</t>
        </is>
      </c>
      <c r="B29" s="7" t="n">
        <v>0</v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8" t="n">
        <v>0.03600000425292382</v>
      </c>
      <c r="J29" s="8" t="n">
        <v>0.03910800426568259</v>
      </c>
      <c r="K29" s="3" t="n">
        <v>0</v>
      </c>
      <c r="L29" s="3" t="n">
        <v>0</v>
      </c>
    </row>
    <row r="30">
      <c r="A30" t="inlineStr">
        <is>
          <t>2026-06-25</t>
        </is>
      </c>
      <c r="B30" s="7" t="n">
        <v>0</v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8" t="n">
        <v>0.03600000425292382</v>
      </c>
      <c r="J30" s="8" t="n">
        <v>0.03910800426568259</v>
      </c>
      <c r="K30" s="3" t="n">
        <v>0</v>
      </c>
      <c r="L30" s="3" t="n">
        <v>0</v>
      </c>
    </row>
    <row r="31">
      <c r="A31" t="inlineStr">
        <is>
          <t>2026-06-26</t>
        </is>
      </c>
      <c r="B31" s="7" t="n">
        <v>0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8" t="n">
        <v>0.03600000425292382</v>
      </c>
      <c r="J31" s="8" t="n">
        <v>0.03910800426568259</v>
      </c>
      <c r="K31" s="3" t="n">
        <v>0</v>
      </c>
      <c r="L31" s="3" t="n">
        <v>0</v>
      </c>
    </row>
    <row r="32">
      <c r="A32" t="inlineStr">
        <is>
          <t>2026-06-27</t>
        </is>
      </c>
      <c r="B32" s="7" t="n">
        <v>0</v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8" t="n">
        <v>0.03600000425292382</v>
      </c>
      <c r="J32" s="8" t="n">
        <v>0.03910800426568259</v>
      </c>
      <c r="K32" s="3" t="n">
        <v>0</v>
      </c>
      <c r="L32" s="3" t="n">
        <v>0</v>
      </c>
    </row>
    <row r="33">
      <c r="A33" t="inlineStr">
        <is>
          <t>2026-06-28</t>
        </is>
      </c>
      <c r="B33" s="7" t="n">
        <v>0</v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8" t="n">
        <v>0.03600000425292382</v>
      </c>
      <c r="J33" s="8" t="n">
        <v>0.03910800426568259</v>
      </c>
      <c r="K33" s="3" t="n">
        <v>0</v>
      </c>
      <c r="L33" s="3" t="n">
        <v>0</v>
      </c>
    </row>
    <row r="34">
      <c r="A34" t="inlineStr">
        <is>
          <t>2026-06-29</t>
        </is>
      </c>
      <c r="B34" s="7" t="n">
        <v>0</v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8" t="n">
        <v>0.03600000425292382</v>
      </c>
      <c r="J34" s="8" t="n">
        <v>0.03910800426568259</v>
      </c>
      <c r="K34" s="3" t="n">
        <v>0</v>
      </c>
      <c r="L34" s="3" t="n">
        <v>0</v>
      </c>
    </row>
    <row r="35">
      <c r="A35" t="inlineStr">
        <is>
          <t>2026-06-30</t>
        </is>
      </c>
      <c r="B35" s="7" t="n">
        <v>0</v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8" t="n">
        <v>0.03600000425292382</v>
      </c>
      <c r="J35" s="8" t="n">
        <v>0.03910800426568259</v>
      </c>
      <c r="K35" s="3" t="n">
        <v>0</v>
      </c>
      <c r="L35" s="3" t="n">
        <v>0</v>
      </c>
    </row>
    <row r="37">
      <c r="A37" s="9" t="inlineStr">
        <is>
          <t>Σ daily charges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s="10" t="n">
        <v>0</v>
      </c>
      <c r="L37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2026-08-04T09:10:04Z</dcterms:created>
  <dcterms:modified xsi:type="dcterms:W3CDTF">2026-08-04T09:10:04Z</dcterms:modified>
</cp:coreProperties>
</file>